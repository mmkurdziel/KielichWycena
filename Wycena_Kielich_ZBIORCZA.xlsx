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a" sheetId="1" state="visible" r:id="rId1"/>
    <sheet name="Podsumowanie" sheetId="2" state="visible" r:id="rId2"/>
    <sheet name="V1 — Reuse (1-1)" sheetId="3" state="visible" r:id="rId3"/>
    <sheet name="V2 — Własny kod" sheetId="4" state="visible" r:id="rId4"/>
    <sheet name="V3 — Realistyczna" sheetId="5" state="visible" r:id="rId5"/>
    <sheet name="V4 — Zunifikowany ★" sheetId="6" state="visible" r:id="rId6"/>
    <sheet name="Opcje dodatkowe" sheetId="7" state="visible" r:id="rId7"/>
    <sheet name="Koszty stałe" sheetId="8" state="visible" r:id="rId8"/>
    <sheet name="Ryzyka" sheetId="9" state="visible" r:id="rId9"/>
  </sheets>
  <definedNames>
    <definedName name="Stawka">Legenda!$C$7</definedName>
    <definedName name="PM_proc">Legenda!$C$8</definedName>
    <definedName name="Bufor_proc">Legenda!$C$9</definedName>
    <definedName name="KursUSD">Legenda!$C$10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h&quot;"/>
    <numFmt numFmtId="165" formatCode="#,##0 &quot;PLN&quot;"/>
    <numFmt numFmtId="166" formatCode="+0;-0;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04040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8EAADB"/>
      </patternFill>
    </fill>
    <fill>
      <patternFill patternType="solid">
        <fgColor rgb="002E5496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D6DCE5"/>
      </patternFill>
    </fill>
    <fill>
      <patternFill patternType="solid">
        <fgColor rgb="00F2F2F2"/>
      </patternFill>
    </fill>
    <fill>
      <patternFill patternType="solid">
        <fgColor rgb="00385723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9" fontId="5" fillId="5" borderId="1" applyAlignment="1" pivotButton="0" quotePrefix="0" xfId="0">
      <alignment horizontal="center" vertical="center" wrapText="1"/>
    </xf>
    <xf numFmtId="0" fontId="5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0" fillId="0" borderId="1" pivotButton="0" quotePrefix="0" xfId="0"/>
    <xf numFmtId="0" fontId="6" fillId="0" borderId="0" applyAlignment="1" pivotButton="0" quotePrefix="0" xfId="0">
      <alignment horizontal="left" vertical="center" wrapText="1"/>
    </xf>
    <xf numFmtId="0" fontId="0" fillId="6" borderId="1" pivotButton="0" quotePrefix="0" xfId="0"/>
    <xf numFmtId="0" fontId="0" fillId="7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6" fillId="0" borderId="0" applyAlignment="1" pivotButton="0" quotePrefix="0" xfId="0">
      <alignment horizontal="left" vertical="top" wrapText="1"/>
    </xf>
    <xf numFmtId="0" fontId="2" fillId="0" borderId="0" pivotButton="0" quotePrefix="0" xfId="0"/>
    <xf numFmtId="164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164" fontId="0" fillId="8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165" fontId="5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0" fillId="8" borderId="1" pivotButton="0" quotePrefix="0" xfId="0"/>
    <xf numFmtId="0" fontId="6" fillId="8" borderId="1" pivotButton="0" quotePrefix="0" xfId="0"/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165" fontId="5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6" fontId="0" fillId="8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center" vertical="center" wrapText="1"/>
    </xf>
    <xf numFmtId="166" fontId="5" fillId="6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7" fillId="9" borderId="1" applyAlignment="1" pivotButton="0" quotePrefix="0" xfId="0">
      <alignment horizontal="left" vertical="center" wrapText="1"/>
    </xf>
    <xf numFmtId="165" fontId="7" fillId="9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0" customWidth="1" min="3" max="3"/>
    <col width="60" customWidth="1" min="4" max="4"/>
  </cols>
  <sheetData>
    <row r="1" ht="26" customHeight="1">
      <c r="A1" s="1" t="inlineStr">
        <is>
          <t>WYCENA APLIKACJI "KIELICH" — symulator monitora pacjenta (iPad · .NET MAUI)</t>
        </is>
      </c>
    </row>
    <row r="2">
      <c r="A2" s="2" t="inlineStr">
        <is>
          <t>Zbiorcze zestawienie wariantów wyceny · aplikacja szkoleniowa (edukacyjna, NIE wyrób medyczny) · Pilot ↔ Monitor · offline P2P</t>
        </is>
      </c>
    </row>
    <row r="3">
      <c r="A3" s="2" t="inlineStr">
        <is>
          <t>Data wyceny: 2026-06-15   ·   Wszystkie kwoty = Godziny × Stawka (parametry edytowalne poniżej)</t>
        </is>
      </c>
    </row>
    <row r="5" ht="20" customHeight="1">
      <c r="A5" s="3" t="inlineStr">
        <is>
          <t>PARAMETRY WYCENY (edytowalne — zmiana automatycznie przelicza wszystkie arkusze)</t>
        </is>
      </c>
    </row>
    <row r="6">
      <c r="A6" s="4" t="inlineStr"/>
      <c r="B6" s="4" t="inlineStr">
        <is>
          <t>Parametr</t>
        </is>
      </c>
      <c r="C6" s="4" t="inlineStr">
        <is>
          <t>Wartość</t>
        </is>
      </c>
      <c r="D6" s="4" t="inlineStr">
        <is>
          <t>Opis</t>
        </is>
      </c>
    </row>
    <row r="7">
      <c r="B7" s="5" t="inlineStr">
        <is>
          <t>Stawka godzinowa</t>
        </is>
      </c>
      <c r="C7" s="6" t="n">
        <v>50</v>
      </c>
      <c r="D7" s="7" t="inlineStr">
        <is>
          <t>Bazowa stawka rozliczeniowa. Edytuj tę komórkę, aby przeliczyć całą wycenę.  [PLN/h]</t>
        </is>
      </c>
    </row>
    <row r="8">
      <c r="B8" s="5" t="inlineStr">
        <is>
          <t>Zarządzanie projektem (PM)</t>
        </is>
      </c>
      <c r="C8" s="8" t="n">
        <v>0.05</v>
      </c>
      <c r="D8" s="7" t="inlineStr">
        <is>
          <t>5% od sumy godzin modułów (koordynacja, komunikacja, raportowanie).  [%]</t>
        </is>
      </c>
    </row>
    <row r="9">
      <c r="B9" s="5" t="inlineStr">
        <is>
          <t>Bufor ryzyka / rezerwa</t>
        </is>
      </c>
      <c r="C9" s="8" t="n">
        <v>0.15</v>
      </c>
      <c r="D9" s="7" t="inlineStr">
        <is>
          <t>15% od sumy godzin modułów (nieprzewidziane, iteracje, ryzyka techniczne).  [%]</t>
        </is>
      </c>
    </row>
    <row r="10">
      <c r="B10" s="5" t="inlineStr">
        <is>
          <t>Kurs USD → PLN</t>
        </is>
      </c>
      <c r="C10" s="6" t="n">
        <v>4.05</v>
      </c>
      <c r="D10" s="7" t="inlineStr">
        <is>
          <t>Do przeliczenia kosztu Apple Developer Program (99 USD/rok).  [USD/PLN]</t>
        </is>
      </c>
    </row>
    <row r="12" ht="20" customHeight="1">
      <c r="A12" s="3" t="inlineStr">
        <is>
          <t>LEGENDA WARIANTÓW WYCENY</t>
        </is>
      </c>
    </row>
    <row r="13">
      <c r="A13" s="4" t="inlineStr"/>
      <c r="B13" s="4" t="inlineStr">
        <is>
          <t>Wariant (arkusz)</t>
        </is>
      </c>
      <c r="C13" s="4" t="inlineStr">
        <is>
          <t>Krótko</t>
        </is>
      </c>
      <c r="D13" s="4" t="inlineStr">
        <is>
          <t>Charakterystyka</t>
        </is>
      </c>
    </row>
    <row r="14">
      <c r="B14" s="5" t="inlineStr">
        <is>
          <t>V1 — Reuse (1:1)</t>
        </is>
      </c>
      <c r="C14" s="7" t="inlineStr">
        <is>
          <t>reuse, bez PM/bufora</t>
        </is>
      </c>
      <c r="D14" s="7" t="inlineStr">
        <is>
          <t>Ponowne użycie biblioteki Infirmary Integrated. Najtańszy, najbardziej optymistyczny. Bez rezerwy ryzyka — łatwo przekroczyć budżet.</t>
        </is>
      </c>
    </row>
    <row r="15">
      <c r="B15" s="5" t="inlineStr">
        <is>
          <t>V2 — Własny kod</t>
        </is>
      </c>
      <c r="C15" s="7" t="inlineStr">
        <is>
          <t>od zera, bez PM/bufora</t>
        </is>
      </c>
      <c r="D15" s="7" t="inlineStr">
        <is>
          <t>Wszystkie algorytmy pisane od zera (clean-room). Warianty A–D (prosty→pełny) oraz opcje sterowania 1:N.</t>
        </is>
      </c>
    </row>
    <row r="16">
      <c r="B16" s="5" t="inlineStr">
        <is>
          <t>V3 — Realistyczna (A/B/C)</t>
        </is>
      </c>
      <c r="C16" s="7" t="inlineStr">
        <is>
          <t>własny + PM + bufor</t>
        </is>
      </c>
      <c r="D16" s="7" t="inlineStr">
        <is>
          <t>Pełny zakres ze szczegółowym rozbiciem na czynności. PM 5% + bufor 15%. A=podstawowy, B=+1:N, C=+reuse.</t>
        </is>
      </c>
    </row>
    <row r="17">
      <c r="B17" s="9" t="inlineStr">
        <is>
          <t>V4 — Zunifikowany ★</t>
        </is>
      </c>
      <c r="C17" s="10" t="inlineStr">
        <is>
          <t>reuse + PM + bufor + sprzęt</t>
        </is>
      </c>
      <c r="D17" s="10" t="inlineStr">
        <is>
          <t>REKOMENDOWANA oferta: zakres V3 + oszczędność reuse + PM + bufor + koszty sprzętu. Pełna, realistyczna cena.</t>
        </is>
      </c>
    </row>
    <row r="19" ht="20" customHeight="1">
      <c r="A19" s="3" t="inlineStr">
        <is>
          <t>SŁOWNIK MODUŁÓW (M1–M12) — kolejność realizacji</t>
        </is>
      </c>
    </row>
    <row r="20">
      <c r="A20" s="4" t="inlineStr"/>
      <c r="B20" s="4" t="inlineStr">
        <is>
          <t>Moduł</t>
        </is>
      </c>
      <c r="C20" s="4" t="inlineStr">
        <is>
          <t>Nazwa</t>
        </is>
      </c>
      <c r="D20" s="4" t="inlineStr">
        <is>
          <t>Zakres</t>
        </is>
      </c>
    </row>
    <row r="21">
      <c r="B21" s="11" t="inlineStr">
        <is>
          <t>M1</t>
        </is>
      </c>
      <c r="C21" s="12" t="inlineStr">
        <is>
          <t>Architektura i komunikacja P2P</t>
        </is>
      </c>
      <c r="D21" s="7" t="inlineStr">
        <is>
          <t>Warstwy/MVVM, abstrakcja transportu, PoC Multipeer Connectivity, synchronizacja stanu, reconnect.</t>
        </is>
      </c>
    </row>
    <row r="22">
      <c r="B22" s="11" t="inlineStr">
        <is>
          <t>M2</t>
        </is>
      </c>
      <c r="C22" s="12" t="inlineStr">
        <is>
          <t>Widok Monitora (przebiegi)</t>
        </is>
      </c>
      <c r="D22" s="7" t="inlineStr">
        <is>
          <t>Silnik renderowania przebiegów, EKG/SpO₂/BP/CVP/PAP/EtCO₂, kolumna parametrów liczbowych.</t>
        </is>
      </c>
    </row>
    <row r="23">
      <c r="B23" s="11" t="inlineStr">
        <is>
          <t>M3</t>
        </is>
      </c>
      <c r="C23" s="12" t="inlineStr">
        <is>
          <t>Pilot: pulpit instruktora</t>
        </is>
      </c>
      <c r="D23" s="7" t="inlineStr">
        <is>
          <t>Layout Pilota, ręczna zmiana parametrów, wybór rytmów/zakłóceń, integracja synchronizacji.</t>
        </is>
      </c>
    </row>
    <row r="24">
      <c r="B24" s="11" t="inlineStr">
        <is>
          <t>M4</t>
        </is>
      </c>
      <c r="C24" s="12" t="inlineStr">
        <is>
          <t>Arytmie i zakłócenia</t>
        </is>
      </c>
      <c r="D24" s="7" t="inlineStr">
        <is>
          <t>17 stanów EKG + EtCO₂/PAP/CVP/arterial, mechanizm przełączania, testy wiarygodności wizualnej.</t>
        </is>
      </c>
    </row>
    <row r="25">
      <c r="B25" s="11" t="inlineStr">
        <is>
          <t>M5</t>
        </is>
      </c>
      <c r="C25" s="12" t="inlineStr">
        <is>
          <t>System scenariuszy</t>
        </is>
      </c>
      <c r="D25" s="7" t="inlineStr">
        <is>
          <t>Model danych, zapis lokalny, CRUD, edytor, szybkie przełączanie w trakcie szkolenia.</t>
        </is>
      </c>
    </row>
    <row r="26">
      <c r="B26" s="11" t="inlineStr">
        <is>
          <t>M6</t>
        </is>
      </c>
      <c r="C26" s="12" t="inlineStr">
        <is>
          <t>Tryb Defib</t>
        </is>
      </c>
      <c r="D26" s="7" t="inlineStr">
        <is>
          <t>Defibrylacja: panel POWER/ENERGY/CHARGE/SHOCK, wybór energii, efekty, integracja z logiką rytmu.</t>
        </is>
      </c>
    </row>
    <row r="27">
      <c r="B27" s="11" t="inlineStr">
        <is>
          <t>M7</t>
        </is>
      </c>
      <c r="C27" s="12" t="inlineStr">
        <is>
          <t>Tryb AED</t>
        </is>
      </c>
      <c r="D27" s="7" t="inlineStr">
        <is>
          <t>Flow analiza→ładowanie→shock, komunikaty głosowe, integracja zmiany rytmu.</t>
        </is>
      </c>
    </row>
    <row r="28">
      <c r="B28" s="11" t="inlineStr">
        <is>
          <t>M8</t>
        </is>
      </c>
      <c r="C28" s="12" t="inlineStr">
        <is>
          <t>Kardiowersja zsynchronizowana</t>
        </is>
      </c>
      <c r="D28" s="7" t="inlineStr">
        <is>
          <t>Tryb SYNC, marker R-wave, ładowanie/wyładowanie zsynchronizowane.</t>
        </is>
      </c>
    </row>
    <row r="29">
      <c r="B29" s="11" t="inlineStr">
        <is>
          <t>M9</t>
        </is>
      </c>
      <c r="C29" s="12" t="inlineStr">
        <is>
          <t>Stymulacja (Pacing)</t>
        </is>
      </c>
      <c r="D29" s="7" t="inlineStr">
        <is>
          <t>Rate/output/mA, wizualizacja pobudzeń, model capture/no-capture (uproszczony; pełny = Opcja B).</t>
        </is>
      </c>
    </row>
    <row r="30">
      <c r="B30" s="11" t="inlineStr">
        <is>
          <t>M10</t>
        </is>
      </c>
      <c r="C30" s="12" t="inlineStr">
        <is>
          <t>Logika wyładowań i zmiany rytmu</t>
        </is>
      </c>
      <c r="D30" s="7" t="inlineStr">
        <is>
          <t>Silnik reguł (po N wyładowaniach → rytm), konfiguracja w Pilocie, wspólne dla Defib/AED.</t>
        </is>
      </c>
    </row>
    <row r="31">
      <c r="B31" s="11" t="inlineStr">
        <is>
          <t>M11</t>
        </is>
      </c>
      <c r="C31" s="12" t="inlineStr">
        <is>
          <t>Ustawienia</t>
        </is>
      </c>
      <c r="D31" s="7" t="inlineStr">
        <is>
          <t>Aplikacja, audio, metronom (RKO), domyślne trybów terapii.</t>
        </is>
      </c>
    </row>
    <row r="32">
      <c r="B32" s="11" t="inlineStr">
        <is>
          <t>M12</t>
        </is>
      </c>
      <c r="C32" s="12" t="inlineStr">
        <is>
          <t>Testy, stabilizacja, dystrybucja</t>
        </is>
      </c>
      <c r="D32" s="7" t="inlineStr">
        <is>
          <t>Testy e2e na 2 iPadach, przypadki brzegowe, UX, TestFlight, dokumentacja.</t>
        </is>
      </c>
    </row>
    <row r="34" ht="20" customHeight="1">
      <c r="A34" s="3" t="inlineStr">
        <is>
          <t>OZNACZENIA KOLORÓW</t>
        </is>
      </c>
    </row>
    <row r="35">
      <c r="B35" s="13" t="inlineStr"/>
      <c r="C35" s="14" t="inlineStr"/>
      <c r="D35" s="15" t="inlineStr">
        <is>
          <t>Wiersze RAZEM / SUMA / parametry edytowalne</t>
        </is>
      </c>
    </row>
    <row r="36">
      <c r="B36" s="16" t="inlineStr"/>
      <c r="C36" s="14" t="inlineStr"/>
      <c r="D36" s="15" t="inlineStr">
        <is>
          <t>Wartości rekomendowane / sumy modułów</t>
        </is>
      </c>
    </row>
    <row r="37">
      <c r="B37" s="17" t="inlineStr"/>
      <c r="C37" s="14" t="inlineStr"/>
      <c r="D37" s="15" t="inlineStr">
        <is>
          <t>Wiersze pomocnicze, korekty, opcje</t>
        </is>
      </c>
    </row>
    <row r="38">
      <c r="B38" s="18" t="inlineStr"/>
      <c r="C38" s="14" t="inlineStr"/>
      <c r="D38" s="15" t="inlineStr">
        <is>
          <t>Nagłówki kolumn (biały tekst)</t>
        </is>
      </c>
    </row>
    <row r="39">
      <c r="B39" s="19" t="inlineStr"/>
      <c r="C39" s="14" t="inlineStr"/>
      <c r="D39" s="15" t="inlineStr">
        <is>
          <t>Nagłówki sekcji (biały tekst)</t>
        </is>
      </c>
    </row>
    <row r="41" ht="20" customHeight="1">
      <c r="A41" s="3" t="inlineStr">
        <is>
          <t>ZAŁOŻENIA I UWAGI</t>
        </is>
      </c>
    </row>
    <row r="42" ht="28" customHeight="1">
      <c r="B42" s="20" t="inlineStr">
        <is>
          <t>• Technologia: .NET MAUI (C#), Visual Studio / VS Code, SkiaSharp, Multipeer Connectivity, SQLite. Architektura przygotowana pod przyszły Android.</t>
        </is>
      </c>
    </row>
    <row r="43" ht="28" customHeight="1">
      <c r="B43" s="20" t="inlineStr">
        <is>
          <t>• Reuse: Infirmary Integrated (Apache 2.0) — wymagana atrybucja i plik NOTICE; UI i komunikacja P2P pisane od zera.</t>
        </is>
      </c>
    </row>
    <row r="44" ht="28" customHeight="1">
      <c r="B44" s="20" t="inlineStr">
        <is>
          <t>• Mac jako host budowania iOS jest WYMAGANY (kompilacja i podpisywanie). Założono, że klient posiada Maca (0 PLN).</t>
        </is>
      </c>
    </row>
    <row r="45" ht="28" customHeight="1">
      <c r="B45" s="20" t="inlineStr">
        <is>
          <t>• Fizyczne iPady wymagane TYLKO do testów komunikacji P2P (Wi-Fi/Multipeer). Emulator Xcode wystarcza do reszty developmentu.</t>
        </is>
      </c>
    </row>
    <row r="46" ht="28" customHeight="1">
      <c r="B46" s="20" t="inlineStr">
        <is>
          <t>• Dystrybucja: TestFlight / wewnętrzna. Apple Developer Program 99 USD/rok.</t>
        </is>
      </c>
    </row>
    <row r="47" ht="28" customHeight="1">
      <c r="B47" s="20" t="inlineStr">
        <is>
          <t>• PM i bufor liczone od godzin modułów danego wariantu. Koszty stałe (sprzęt/konta) identyczne we wszystkich wariantach.</t>
        </is>
      </c>
    </row>
    <row r="48" ht="28" customHeight="1">
      <c r="B48" s="20" t="inlineStr">
        <is>
          <t>• Programista: 1 osoba, C#/.NET, bez doświadczenia z Apple/iOS — stąd istotny bufor ryzyka w wariantach V3/V4.</t>
        </is>
      </c>
    </row>
    <row r="49" ht="28" customHeight="1">
      <c r="B49" s="20" t="inlineStr">
        <is>
          <t>• Wycena NIE obejmuje instalacji środowiska/narzędzi — wyłącznie czas developmentu. Godziny szacunkowe.</t>
        </is>
      </c>
    </row>
    <row r="50" ht="28" customHeight="1">
      <c r="B50" s="20" t="inlineStr">
        <is>
          <t>• Opcje 1:N, pełny Pacing i port Android są poza sumami głównymi — patrz arkusz 'Opcje dodatkowe'.</t>
        </is>
      </c>
    </row>
  </sheetData>
  <mergeCells count="17">
    <mergeCell ref="A1:D1"/>
    <mergeCell ref="A5:D5"/>
    <mergeCell ref="B42:D42"/>
    <mergeCell ref="B43:D43"/>
    <mergeCell ref="B45:D45"/>
    <mergeCell ref="A34:D34"/>
    <mergeCell ref="A12:D12"/>
    <mergeCell ref="B46:D46"/>
    <mergeCell ref="A3:D3"/>
    <mergeCell ref="B49:D49"/>
    <mergeCell ref="B50:D50"/>
    <mergeCell ref="A41:D41"/>
    <mergeCell ref="A2:D2"/>
    <mergeCell ref="A19:D19"/>
    <mergeCell ref="B44:D44"/>
    <mergeCell ref="B47:D47"/>
    <mergeCell ref="B48:D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6" customHeight="1">
      <c r="A1" s="1" t="inlineStr">
        <is>
          <t>PODSUMOWANIE — porównanie wszystkich wariantów wyceny</t>
        </is>
      </c>
    </row>
    <row r="2">
      <c r="A2" s="21" t="inlineStr">
        <is>
          <t>Stawka, PM i bufor pobierane z arkusza 'Legenda'. Wartości godzinowe to dane wejściowe; kwoty liczone formułami.</t>
        </is>
      </c>
    </row>
    <row r="4" ht="30" customHeight="1">
      <c r="A4" s="4" t="inlineStr">
        <is>
          <t>Pozycja</t>
        </is>
      </c>
      <c r="B4" s="4" t="inlineStr">
        <is>
          <t>V1
reuse</t>
        </is>
      </c>
      <c r="C4" s="4" t="inlineStr">
        <is>
          <t>V2-A
własny prosty</t>
        </is>
      </c>
      <c r="D4" s="4" t="inlineStr">
        <is>
          <t>V2-D
własny pełny</t>
        </is>
      </c>
      <c r="E4" s="4" t="inlineStr">
        <is>
          <t>V3-A
własny+PM+buf</t>
        </is>
      </c>
      <c r="F4" s="4" t="inlineStr">
        <is>
          <t>V3-B
+1:N</t>
        </is>
      </c>
      <c r="G4" s="4" t="inlineStr">
        <is>
          <t>V3-C
reuse+PM+buf</t>
        </is>
      </c>
      <c r="H4" s="4" t="inlineStr">
        <is>
          <t>V4 ★
zunifikowany</t>
        </is>
      </c>
    </row>
    <row r="5">
      <c r="A5" s="7" t="inlineStr">
        <is>
          <t>Godziny modułów (development)</t>
        </is>
      </c>
      <c r="B5" s="22" t="n">
        <v>312</v>
      </c>
      <c r="C5" s="22" t="n">
        <v>402</v>
      </c>
      <c r="D5" s="22" t="n">
        <v>488</v>
      </c>
      <c r="E5" s="22" t="n">
        <v>936</v>
      </c>
      <c r="F5" s="22" t="n">
        <v>1066</v>
      </c>
      <c r="G5" s="22" t="n">
        <v>824</v>
      </c>
      <c r="H5" s="23" t="n">
        <v>824</v>
      </c>
    </row>
    <row r="6">
      <c r="A6" s="7" t="inlineStr">
        <is>
          <t>Zarządzanie projektem (+5%)</t>
        </is>
      </c>
      <c r="B6" s="22" t="n">
        <v>0</v>
      </c>
      <c r="C6" s="22" t="n">
        <v>0</v>
      </c>
      <c r="D6" s="22" t="n">
        <v>0</v>
      </c>
      <c r="E6" s="22" t="n">
        <v>47</v>
      </c>
      <c r="F6" s="22" t="n">
        <v>53</v>
      </c>
      <c r="G6" s="22" t="n">
        <v>41</v>
      </c>
      <c r="H6" s="23" t="n">
        <v>41</v>
      </c>
    </row>
    <row r="7">
      <c r="A7" s="7" t="inlineStr">
        <is>
          <t>Bufor ryzyka (+15%)</t>
        </is>
      </c>
      <c r="B7" s="22" t="n">
        <v>0</v>
      </c>
      <c r="C7" s="22" t="n">
        <v>0</v>
      </c>
      <c r="D7" s="22" t="n">
        <v>0</v>
      </c>
      <c r="E7" s="22" t="n">
        <v>140</v>
      </c>
      <c r="F7" s="22" t="n">
        <v>160</v>
      </c>
      <c r="G7" s="22" t="n">
        <v>124</v>
      </c>
      <c r="H7" s="23" t="n">
        <v>124</v>
      </c>
    </row>
    <row r="8">
      <c r="A8" s="12" t="inlineStr">
        <is>
          <t>RAZEM godziny</t>
        </is>
      </c>
      <c r="B8" s="24" t="n">
        <v>312</v>
      </c>
      <c r="C8" s="24" t="n">
        <v>402</v>
      </c>
      <c r="D8" s="24" t="n">
        <v>488</v>
      </c>
      <c r="E8" s="24" t="n">
        <v>1123</v>
      </c>
      <c r="F8" s="24" t="n">
        <v>1279</v>
      </c>
      <c r="G8" s="24" t="n">
        <v>989</v>
      </c>
      <c r="H8" s="25" t="n">
        <v>989</v>
      </c>
    </row>
    <row r="9">
      <c r="A9" s="7" t="inlineStr">
        <is>
          <t>Koszt robocizny (PLN)</t>
        </is>
      </c>
      <c r="B9" s="26" t="n">
        <v>15600</v>
      </c>
      <c r="C9" s="26" t="n">
        <v>20100</v>
      </c>
      <c r="D9" s="26" t="n">
        <v>24400</v>
      </c>
      <c r="E9" s="26" t="n">
        <v>56150</v>
      </c>
      <c r="F9" s="26" t="n">
        <v>63950</v>
      </c>
      <c r="G9" s="26" t="n">
        <v>49450</v>
      </c>
      <c r="H9" s="27" t="n">
        <v>49450</v>
      </c>
    </row>
    <row r="10">
      <c r="A10" s="7" t="inlineStr">
        <is>
          <t>Koszty stałe (sprzęt/Apple)</t>
        </is>
      </c>
      <c r="B10" s="26" t="n">
        <v>7300</v>
      </c>
      <c r="C10" s="26" t="n">
        <v>0</v>
      </c>
      <c r="D10" s="26" t="n">
        <v>0</v>
      </c>
      <c r="E10" s="26" t="n">
        <v>5701</v>
      </c>
      <c r="F10" s="26" t="n">
        <v>5701</v>
      </c>
      <c r="G10" s="26" t="n">
        <v>5701</v>
      </c>
      <c r="H10" s="27" t="n">
        <v>5701</v>
      </c>
    </row>
    <row r="11">
      <c r="A11" s="12" t="inlineStr">
        <is>
          <t>SUMA CAŁKOWITA (PLN)</t>
        </is>
      </c>
      <c r="B11" s="28" t="n">
        <v>22900</v>
      </c>
      <c r="C11" s="28" t="n">
        <v>20100</v>
      </c>
      <c r="D11" s="28" t="n">
        <v>24400</v>
      </c>
      <c r="E11" s="28" t="n">
        <v>61851</v>
      </c>
      <c r="F11" s="28" t="n">
        <v>69651</v>
      </c>
      <c r="G11" s="28" t="n">
        <v>55151</v>
      </c>
      <c r="H11" s="28" t="n">
        <v>55151</v>
      </c>
    </row>
    <row r="13" ht="30" customHeight="1">
      <c r="A13" s="29" t="inlineStr">
        <is>
          <t>Cecha wariantu</t>
        </is>
      </c>
      <c r="B13" s="29" t="inlineStr">
        <is>
          <t>V1</t>
        </is>
      </c>
      <c r="C13" s="29" t="inlineStr">
        <is>
          <t>V2-A</t>
        </is>
      </c>
      <c r="D13" s="29" t="inlineStr">
        <is>
          <t>V2-D</t>
        </is>
      </c>
      <c r="E13" s="29" t="inlineStr">
        <is>
          <t>V3-A</t>
        </is>
      </c>
      <c r="F13" s="29" t="inlineStr">
        <is>
          <t>V3-B</t>
        </is>
      </c>
      <c r="G13" s="29" t="inlineStr">
        <is>
          <t>V3-C</t>
        </is>
      </c>
      <c r="H13" s="29" t="inlineStr">
        <is>
          <t>V4 ★</t>
        </is>
      </c>
    </row>
    <row r="14">
      <c r="A14" s="7" t="inlineStr">
        <is>
          <t>Reuse Infirmary Integrated</t>
        </is>
      </c>
      <c r="B14" s="30" t="inlineStr">
        <is>
          <t>TAK</t>
        </is>
      </c>
      <c r="C14" s="30" t="inlineStr">
        <is>
          <t>nie</t>
        </is>
      </c>
      <c r="D14" s="30" t="inlineStr">
        <is>
          <t>nie</t>
        </is>
      </c>
      <c r="E14" s="30" t="inlineStr">
        <is>
          <t>nie</t>
        </is>
      </c>
      <c r="F14" s="30" t="inlineStr">
        <is>
          <t>nie</t>
        </is>
      </c>
      <c r="G14" s="30" t="inlineStr">
        <is>
          <t>TAK</t>
        </is>
      </c>
      <c r="H14" s="31" t="inlineStr">
        <is>
          <t>TAK</t>
        </is>
      </c>
    </row>
    <row r="15">
      <c r="A15" s="7" t="inlineStr">
        <is>
          <t>PM (5%)</t>
        </is>
      </c>
      <c r="B15" s="30" t="inlineStr">
        <is>
          <t>nie</t>
        </is>
      </c>
      <c r="C15" s="30" t="inlineStr">
        <is>
          <t>nie</t>
        </is>
      </c>
      <c r="D15" s="30" t="inlineStr">
        <is>
          <t>nie</t>
        </is>
      </c>
      <c r="E15" s="30" t="inlineStr">
        <is>
          <t>TAK</t>
        </is>
      </c>
      <c r="F15" s="30" t="inlineStr">
        <is>
          <t>TAK</t>
        </is>
      </c>
      <c r="G15" s="30" t="inlineStr">
        <is>
          <t>TAK</t>
        </is>
      </c>
      <c r="H15" s="31" t="inlineStr">
        <is>
          <t>TAK</t>
        </is>
      </c>
    </row>
    <row r="16">
      <c r="A16" s="7" t="inlineStr">
        <is>
          <t>Bufor ryzyka (15%)</t>
        </is>
      </c>
      <c r="B16" s="30" t="inlineStr">
        <is>
          <t>nie</t>
        </is>
      </c>
      <c r="C16" s="30" t="inlineStr">
        <is>
          <t>nie</t>
        </is>
      </c>
      <c r="D16" s="30" t="inlineStr">
        <is>
          <t>nie</t>
        </is>
      </c>
      <c r="E16" s="30" t="inlineStr">
        <is>
          <t>TAK</t>
        </is>
      </c>
      <c r="F16" s="30" t="inlineStr">
        <is>
          <t>TAK</t>
        </is>
      </c>
      <c r="G16" s="30" t="inlineStr">
        <is>
          <t>TAK</t>
        </is>
      </c>
      <c r="H16" s="31" t="inlineStr">
        <is>
          <t>TAK</t>
        </is>
      </c>
    </row>
    <row r="17">
      <c r="A17" s="7" t="inlineStr">
        <is>
          <t>Pełny zakres szczegółowy</t>
        </is>
      </c>
      <c r="B17" s="30" t="inlineStr">
        <is>
          <t>nie</t>
        </is>
      </c>
      <c r="C17" s="30" t="inlineStr">
        <is>
          <t>nie</t>
        </is>
      </c>
      <c r="D17" s="30" t="inlineStr">
        <is>
          <t>TAK</t>
        </is>
      </c>
      <c r="E17" s="30" t="inlineStr">
        <is>
          <t>TAK</t>
        </is>
      </c>
      <c r="F17" s="30" t="inlineStr">
        <is>
          <t>TAK</t>
        </is>
      </c>
      <c r="G17" s="30" t="inlineStr">
        <is>
          <t>TAK</t>
        </is>
      </c>
      <c r="H17" s="31" t="inlineStr">
        <is>
          <t>TAK</t>
        </is>
      </c>
    </row>
    <row r="18">
      <c r="A18" s="7" t="inlineStr">
        <is>
          <t>Połączenie 1:N (do 4)</t>
        </is>
      </c>
      <c r="B18" s="30" t="inlineStr">
        <is>
          <t>+16h</t>
        </is>
      </c>
      <c r="C18" s="30" t="inlineStr">
        <is>
          <t>+20h</t>
        </is>
      </c>
      <c r="D18" s="30" t="inlineStr">
        <is>
          <t>+35h</t>
        </is>
      </c>
      <c r="E18" s="30" t="inlineStr">
        <is>
          <t>opcja</t>
        </is>
      </c>
      <c r="F18" s="30" t="inlineStr">
        <is>
          <t>wliczone</t>
        </is>
      </c>
      <c r="G18" s="30" t="inlineStr">
        <is>
          <t>opcja A</t>
        </is>
      </c>
      <c r="H18" s="31" t="inlineStr">
        <is>
          <t>opcja A</t>
        </is>
      </c>
    </row>
    <row r="19">
      <c r="A19" s="7" t="inlineStr">
        <is>
          <t>Koszty sprzętu w SUMIE</t>
        </is>
      </c>
      <c r="B19" s="30" t="inlineStr">
        <is>
          <t>TAK</t>
        </is>
      </c>
      <c r="C19" s="30" t="inlineStr">
        <is>
          <t>nie</t>
        </is>
      </c>
      <c r="D19" s="30" t="inlineStr">
        <is>
          <t>nie</t>
        </is>
      </c>
      <c r="E19" s="30" t="inlineStr">
        <is>
          <t>TAK</t>
        </is>
      </c>
      <c r="F19" s="30" t="inlineStr">
        <is>
          <t>TAK</t>
        </is>
      </c>
      <c r="G19" s="30" t="inlineStr">
        <is>
          <t>TAK</t>
        </is>
      </c>
      <c r="H19" s="31" t="inlineStr">
        <is>
          <t>TAK</t>
        </is>
      </c>
    </row>
    <row r="20">
      <c r="A20" s="7" t="inlineStr">
        <is>
          <t>Port Android (orient.)</t>
        </is>
      </c>
      <c r="B20" s="30" t="inlineStr">
        <is>
          <t>+2000</t>
        </is>
      </c>
      <c r="C20" s="30" t="inlineStr">
        <is>
          <t>brak</t>
        </is>
      </c>
      <c r="D20" s="30" t="inlineStr">
        <is>
          <t>brak</t>
        </is>
      </c>
      <c r="E20" s="30" t="inlineStr">
        <is>
          <t>~6000</t>
        </is>
      </c>
      <c r="F20" s="30" t="inlineStr">
        <is>
          <t>~6000</t>
        </is>
      </c>
      <c r="G20" s="30" t="inlineStr">
        <is>
          <t>~5500</t>
        </is>
      </c>
      <c r="H20" s="31" t="inlineStr">
        <is>
          <t>~5500</t>
        </is>
      </c>
    </row>
    <row r="22" ht="30" customHeight="1">
      <c r="A22" s="32" t="inlineStr">
        <is>
          <t>★ REKOMENDACJA: Wariant V4 — Zunifikowany (989 h · 55 151 PLN). Łączy szczegółowy zakres, oszczędność reuse, PM, bufor ryzyka i koszty sprzętu — pełna, realistyczna oferta.</t>
        </is>
      </c>
    </row>
  </sheetData>
  <mergeCells count="3">
    <mergeCell ref="A2:H2"/>
    <mergeCell ref="A22:H2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8" customWidth="1" min="3" max="3"/>
    <col width="11" customWidth="1" min="4" max="4"/>
    <col width="14" customWidth="1" min="5" max="5"/>
    <col width="30" customWidth="1" min="6" max="6"/>
  </cols>
  <sheetData>
    <row r="1" ht="26" customHeight="1">
      <c r="A1" s="1" t="inlineStr">
        <is>
          <t>WYCENA V1 — Reuse Infirmary Integrated (1 Pilot : 1 Monitor)</t>
        </is>
      </c>
    </row>
    <row r="2">
      <c r="A2" s="2" t="inlineStr">
        <is>
          <t>Ponowne użycie biblioteki open-source · bez PM i bufora ryzyka · najbardziej optymistyczny wariant</t>
        </is>
      </c>
    </row>
    <row r="4" ht="30" customHeight="1">
      <c r="A4" s="4" t="inlineStr">
        <is>
          <t>Nr</t>
        </is>
      </c>
      <c r="B4" s="4" t="inlineStr">
        <is>
          <t>Moduł</t>
        </is>
      </c>
      <c r="C4" s="4" t="inlineStr">
        <is>
          <t>Zakres / zadania</t>
        </is>
      </c>
      <c r="D4" s="4" t="inlineStr">
        <is>
          <t>Godziny</t>
        </is>
      </c>
      <c r="E4" s="4" t="inlineStr">
        <is>
          <t>Koszt (PLN)</t>
        </is>
      </c>
      <c r="F4" s="4" t="inlineStr">
        <is>
          <t>Uwagi</t>
        </is>
      </c>
    </row>
    <row r="5" ht="30" customHeight="1">
      <c r="A5" s="11" t="inlineStr">
        <is>
          <t>M0</t>
        </is>
      </c>
      <c r="B5" s="33" t="inlineStr">
        <is>
          <t>Setup</t>
        </is>
      </c>
      <c r="C5" s="34" t="inlineStr">
        <is>
          <t>Xcode, MAUI iOS, certyfikaty, architektura, nauka MAUI</t>
        </is>
      </c>
      <c r="D5" s="22" t="n">
        <v>30</v>
      </c>
      <c r="E5" s="26">
        <f>D5*Stawka</f>
        <v/>
      </c>
      <c r="F5" s="35" t="inlineStr"/>
    </row>
    <row r="6" ht="30" customHeight="1">
      <c r="A6" s="36" t="inlineStr">
        <is>
          <t>M1</t>
        </is>
      </c>
      <c r="B6" s="37" t="inlineStr">
        <is>
          <t>P2P 1:1</t>
        </is>
      </c>
      <c r="C6" s="38" t="inlineStr">
        <is>
          <t>Multipeer Connectivity binding, auto-discovery, sync, reconnect</t>
        </is>
      </c>
      <c r="D6" s="39" t="n">
        <v>32</v>
      </c>
      <c r="E6" s="40">
        <f>D6*Stawka</f>
        <v/>
      </c>
      <c r="F6" s="41" t="inlineStr">
        <is>
          <t>Ryzyko: binding MAUI↔Apple API</t>
        </is>
      </c>
    </row>
    <row r="7" ht="30" customHeight="1">
      <c r="A7" s="11" t="inlineStr">
        <is>
          <t>M2</t>
        </is>
      </c>
      <c r="B7" s="33" t="inlineStr">
        <is>
          <t>Przebiegi</t>
        </is>
      </c>
      <c r="C7" s="34" t="inlineStr">
        <is>
          <t>Port waveformów z Infirmary Integrated (SkiaSharp/MAUI)</t>
        </is>
      </c>
      <c r="D7" s="22" t="n">
        <v>33</v>
      </c>
      <c r="E7" s="26">
        <f>D7*Stawka</f>
        <v/>
      </c>
      <c r="F7" s="35" t="inlineStr">
        <is>
          <t>Reuse open-source C#</t>
        </is>
      </c>
    </row>
    <row r="8" ht="30" customHeight="1">
      <c r="A8" s="36" t="inlineStr">
        <is>
          <t>M3</t>
        </is>
      </c>
      <c r="B8" s="37" t="inlineStr">
        <is>
          <t>Fizjologia</t>
        </is>
      </c>
      <c r="C8" s="38" t="inlineStr">
        <is>
          <t>Port Physiology.cs + Rhythms.cs, 17 rytmów, stany zakłóceń</t>
        </is>
      </c>
      <c r="D8" s="39" t="n">
        <v>28</v>
      </c>
      <c r="E8" s="40">
        <f>D8*Stawka</f>
        <v/>
      </c>
      <c r="F8" s="41" t="inlineStr">
        <is>
          <t>Reuse open-source C#</t>
        </is>
      </c>
    </row>
    <row r="9" ht="30" customHeight="1">
      <c r="A9" s="11" t="inlineStr">
        <is>
          <t>M4</t>
        </is>
      </c>
      <c r="B9" s="33" t="inlineStr">
        <is>
          <t>Monitor UI</t>
        </is>
      </c>
      <c r="C9" s="34" t="inlineStr">
        <is>
          <t>Ciemny ekran, przebiegi + kolumna numeryczna, przełączanie widoków</t>
        </is>
      </c>
      <c r="D9" s="22" t="n">
        <v>23</v>
      </c>
      <c r="E9" s="26">
        <f>D9*Stawka</f>
        <v/>
      </c>
      <c r="F9" s="35" t="inlineStr"/>
    </row>
    <row r="10" ht="30" customHeight="1">
      <c r="A10" s="36" t="inlineStr">
        <is>
          <t>M5</t>
        </is>
      </c>
      <c r="B10" s="37" t="inlineStr">
        <is>
          <t>Pilot UI</t>
        </is>
      </c>
      <c r="C10" s="38" t="inlineStr">
        <is>
          <t>Panel sterowania, parametry, rytmy, scenariusze, status</t>
        </is>
      </c>
      <c r="D10" s="39" t="n">
        <v>27</v>
      </c>
      <c r="E10" s="40">
        <f>D10*Stawka</f>
        <v/>
      </c>
      <c r="F10" s="41" t="inlineStr"/>
    </row>
    <row r="11" ht="30" customHeight="1">
      <c r="A11" s="11" t="inlineStr">
        <is>
          <t>M6</t>
        </is>
      </c>
      <c r="B11" s="33" t="inlineStr">
        <is>
          <t>Scenariusze</t>
        </is>
      </c>
      <c r="C11" s="34" t="inlineStr">
        <is>
          <t>CRUD, SQLite, edytor, przełączanie w trakcie szkolenia</t>
        </is>
      </c>
      <c r="D11" s="22" t="n">
        <v>22</v>
      </c>
      <c r="E11" s="26">
        <f>D11*Stawka</f>
        <v/>
      </c>
      <c r="F11" s="35" t="inlineStr">
        <is>
          <t>Adaptacja Scenario.cs</t>
        </is>
      </c>
    </row>
    <row r="12" ht="30" customHeight="1">
      <c r="A12" s="36" t="inlineStr">
        <is>
          <t>M7</t>
        </is>
      </c>
      <c r="B12" s="37" t="inlineStr">
        <is>
          <t>Defib</t>
        </is>
      </c>
      <c r="C12" s="38" t="inlineStr">
        <is>
          <t>Defibrylacja + kardiowersja zsynchronizowana + pacing</t>
        </is>
      </c>
      <c r="D12" s="39" t="n">
        <v>35</v>
      </c>
      <c r="E12" s="40">
        <f>D12*Stawka</f>
        <v/>
      </c>
      <c r="F12" s="41" t="inlineStr"/>
    </row>
    <row r="13" ht="30" customHeight="1">
      <c r="A13" s="11" t="inlineStr">
        <is>
          <t>M8</t>
        </is>
      </c>
      <c r="B13" s="33" t="inlineStr">
        <is>
          <t>AED</t>
        </is>
      </c>
      <c r="C13" s="34" t="inlineStr">
        <is>
          <t>Flow Analyze→Charge→Shock, efekty audio/wizualne</t>
        </is>
      </c>
      <c r="D13" s="22" t="n">
        <v>13</v>
      </c>
      <c r="E13" s="26">
        <f>D13*Stawka</f>
        <v/>
      </c>
      <c r="F13" s="35" t="inlineStr"/>
    </row>
    <row r="14" ht="30" customHeight="1">
      <c r="A14" s="36" t="inlineStr">
        <is>
          <t>M9</t>
        </is>
      </c>
      <c r="B14" s="37" t="inlineStr">
        <is>
          <t>Logika wyładowań</t>
        </is>
      </c>
      <c r="C14" s="38" t="inlineStr">
        <is>
          <t>Zmiana rytmu po N wyładowaniach, łańcuchowanie reguł</t>
        </is>
      </c>
      <c r="D14" s="39" t="n">
        <v>15</v>
      </c>
      <c r="E14" s="40">
        <f>D14*Stawka</f>
        <v/>
      </c>
      <c r="F14" s="41" t="inlineStr"/>
    </row>
    <row r="15" ht="30" customHeight="1">
      <c r="A15" s="11" t="inlineStr">
        <is>
          <t>M10</t>
        </is>
      </c>
      <c r="B15" s="33" t="inlineStr">
        <is>
          <t>Audio</t>
        </is>
      </c>
      <c r="C15" s="34" t="inlineStr">
        <is>
          <t>Port Audio.cs, beep HR, alarm, dźwięk wyładowania, metronom</t>
        </is>
      </c>
      <c r="D15" s="22" t="n">
        <v>9</v>
      </c>
      <c r="E15" s="26">
        <f>D15*Stawka</f>
        <v/>
      </c>
      <c r="F15" s="35" t="inlineStr"/>
    </row>
    <row r="16" ht="30" customHeight="1">
      <c r="A16" s="36" t="inlineStr">
        <is>
          <t>M11</t>
        </is>
      </c>
      <c r="B16" s="37" t="inlineStr">
        <is>
          <t>Ustawienia</t>
        </is>
      </c>
      <c r="C16" s="38" t="inlineStr">
        <is>
          <t>Ogólne, audio, metronom, domyślne Defib/AED/pacing</t>
        </is>
      </c>
      <c r="D16" s="39" t="n">
        <v>10</v>
      </c>
      <c r="E16" s="40">
        <f>D16*Stawka</f>
        <v/>
      </c>
      <c r="F16" s="41" t="inlineStr"/>
    </row>
    <row r="17" ht="30" customHeight="1">
      <c r="A17" s="11" t="inlineStr">
        <is>
          <t>M12</t>
        </is>
      </c>
      <c r="B17" s="33" t="inlineStr">
        <is>
          <t>Testy</t>
        </is>
      </c>
      <c r="C17" s="34" t="inlineStr">
        <is>
          <t>Emulator + fizyczne urządzenia P2P, optymalizacja, polish</t>
        </is>
      </c>
      <c r="D17" s="22" t="n">
        <v>35</v>
      </c>
      <c r="E17" s="26">
        <f>D17*Stawka</f>
        <v/>
      </c>
      <c r="F17" s="35" t="inlineStr">
        <is>
          <t>⚠ Wymaga 2 fizycznych iPadów</t>
        </is>
      </c>
    </row>
    <row r="18">
      <c r="A18" s="16" t="n"/>
      <c r="B18" s="42" t="inlineStr">
        <is>
          <t>SUMA ROBOCIZNA (moduły)</t>
        </is>
      </c>
      <c r="C18" s="16" t="n"/>
      <c r="D18" s="25">
        <f>SUM(D5:D17)</f>
        <v/>
      </c>
      <c r="E18" s="43">
        <f>SUM(E5:E17)</f>
        <v/>
      </c>
      <c r="F18" s="16" t="n"/>
    </row>
    <row r="20" ht="26" customHeight="1">
      <c r="A20" s="20" t="inlineStr">
        <is>
          <t>Oszczędność dzięki reuse II Library: ~108 h (~5 400 PLN). Moduły z reuse: Physiology.cs, Rhythms.cs, Waveform.*.cs, Scenario.cs, Audio.cs.</t>
        </is>
      </c>
    </row>
    <row r="21" ht="26" customHeight="1">
      <c r="A21" s="20" t="inlineStr">
        <is>
          <t>Wariant 1:N (do wielu monitorów): +16 h w module M1 (P2P 1:wielu) → razem 328 h.</t>
        </is>
      </c>
    </row>
    <row r="22" ht="26" customHeight="1">
      <c r="A22" s="20" t="inlineStr">
        <is>
          <t>Koszty stałe (poza robocizną): Mac mini 2 500 + 2× iPad 4 400 + Apple Dev 400 = 7 300 PLN. Port Android: +~2 000 PLN.</t>
        </is>
      </c>
    </row>
  </sheetData>
  <mergeCells count="6">
    <mergeCell ref="A2:F2"/>
    <mergeCell ref="A1:F1"/>
    <mergeCell ref="A22:F22"/>
    <mergeCell ref="B18:C18"/>
    <mergeCell ref="A21:F21"/>
    <mergeCell ref="A20:F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2" customWidth="1" min="3" max="3"/>
    <col width="12" customWidth="1" min="4" max="4"/>
    <col width="13" customWidth="1" min="5" max="5"/>
    <col width="13" customWidth="1" min="6" max="6"/>
    <col width="26" customWidth="1" min="7" max="7"/>
  </cols>
  <sheetData>
    <row r="1" ht="26" customHeight="1">
      <c r="A1" s="1" t="inlineStr">
        <is>
          <t>WYCENA V2 — Własny kod (clean-room, bez reuse)</t>
        </is>
      </c>
    </row>
    <row r="2">
      <c r="A2" s="21" t="inlineStr">
        <is>
          <t>Wszystkie algorytmy pisane od zera · bez PM i bufora · warianty A–D (prosty→pełny) · sterowanie 1:N (Opcje A/B/C)</t>
        </is>
      </c>
    </row>
    <row r="4" ht="20" customHeight="1">
      <c r="A4" s="3" t="inlineStr">
        <is>
          <t>MODUŁY STAŁE — niezależne od wariantu</t>
        </is>
      </c>
    </row>
    <row r="5" ht="30" customHeight="1">
      <c r="A5" s="4" t="inlineStr">
        <is>
          <t>Nr</t>
        </is>
      </c>
      <c r="B5" s="4" t="inlineStr">
        <is>
          <t>Moduł</t>
        </is>
      </c>
      <c r="C5" s="4" t="inlineStr">
        <is>
          <t>Godz. 1:1</t>
        </is>
      </c>
      <c r="D5" s="4" t="inlineStr">
        <is>
          <t>Godz. 1:wielu</t>
        </is>
      </c>
      <c r="E5" s="4" t="inlineStr">
        <is>
          <t>Koszt 1:1 (PLN)</t>
        </is>
      </c>
      <c r="F5" s="4" t="inlineStr">
        <is>
          <t>Koszt 1:wielu (PLN)</t>
        </is>
      </c>
      <c r="G5" s="4" t="inlineStr">
        <is>
          <t>Uwagi</t>
        </is>
      </c>
    </row>
    <row r="6">
      <c r="A6" s="11" t="inlineStr">
        <is>
          <t>M0</t>
        </is>
      </c>
      <c r="B6" s="34" t="inlineStr">
        <is>
          <t>Setup (Xcode, MAUI, certyfikaty, architektura)</t>
        </is>
      </c>
      <c r="C6" s="22" t="n">
        <v>32</v>
      </c>
      <c r="D6" s="22" t="n">
        <v>32</v>
      </c>
      <c r="E6" s="26">
        <f>C6*Stawka</f>
        <v/>
      </c>
      <c r="F6" s="26">
        <f>D6*Stawka</f>
        <v/>
      </c>
      <c r="G6" s="35" t="inlineStr"/>
    </row>
    <row r="7">
      <c r="A7" s="36" t="inlineStr">
        <is>
          <t>M1</t>
        </is>
      </c>
      <c r="B7" s="38" t="inlineStr">
        <is>
          <t>P2P (Multipeer Connectivity binding)</t>
        </is>
      </c>
      <c r="C7" s="39" t="n">
        <v>39</v>
      </c>
      <c r="D7" s="39" t="n">
        <v>59</v>
      </c>
      <c r="E7" s="40">
        <f>C7*Stawka</f>
        <v/>
      </c>
      <c r="F7" s="40">
        <f>D7*Stawka</f>
        <v/>
      </c>
      <c r="G7" s="41" t="inlineStr">
        <is>
          <t>+20h dla 1:wielu (multi-peer broadcast)</t>
        </is>
      </c>
    </row>
    <row r="8">
      <c r="A8" s="11" t="inlineStr">
        <is>
          <t>M4</t>
        </is>
      </c>
      <c r="B8" s="34" t="inlineStr">
        <is>
          <t>Monitor UI</t>
        </is>
      </c>
      <c r="C8" s="22" t="n">
        <v>25</v>
      </c>
      <c r="D8" s="22" t="n">
        <v>25</v>
      </c>
      <c r="E8" s="26">
        <f>C8*Stawka</f>
        <v/>
      </c>
      <c r="F8" s="26">
        <f>D8*Stawka</f>
        <v/>
      </c>
      <c r="G8" s="35" t="inlineStr"/>
    </row>
    <row r="9">
      <c r="A9" s="36" t="inlineStr">
        <is>
          <t>M5</t>
        </is>
      </c>
      <c r="B9" s="38" t="inlineStr">
        <is>
          <t>Pilot UI</t>
        </is>
      </c>
      <c r="C9" s="39" t="n">
        <v>30</v>
      </c>
      <c r="D9" s="39" t="n">
        <v>30</v>
      </c>
      <c r="E9" s="40">
        <f>C9*Stawka</f>
        <v/>
      </c>
      <c r="F9" s="40">
        <f>D9*Stawka</f>
        <v/>
      </c>
      <c r="G9" s="41" t="inlineStr"/>
    </row>
    <row r="10">
      <c r="A10" s="11" t="inlineStr">
        <is>
          <t>M6</t>
        </is>
      </c>
      <c r="B10" s="34" t="inlineStr">
        <is>
          <t>Scenariusze (SQLite, CRUD, edytor)</t>
        </is>
      </c>
      <c r="C10" s="22" t="n">
        <v>27</v>
      </c>
      <c r="D10" s="22" t="n">
        <v>27</v>
      </c>
      <c r="E10" s="26">
        <f>C10*Stawka</f>
        <v/>
      </c>
      <c r="F10" s="26">
        <f>D10*Stawka</f>
        <v/>
      </c>
      <c r="G10" s="35" t="inlineStr"/>
    </row>
    <row r="11">
      <c r="A11" s="36" t="inlineStr">
        <is>
          <t>M7</t>
        </is>
      </c>
      <c r="B11" s="38" t="inlineStr">
        <is>
          <t>Defib baza (defibrylacja + kardiowersja)</t>
        </is>
      </c>
      <c r="C11" s="39" t="n">
        <v>29</v>
      </c>
      <c r="D11" s="39" t="n">
        <v>29</v>
      </c>
      <c r="E11" s="40">
        <f>C11*Stawka</f>
        <v/>
      </c>
      <c r="F11" s="40">
        <f>D11*Stawka</f>
        <v/>
      </c>
      <c r="G11" s="41" t="inlineStr"/>
    </row>
    <row r="12">
      <c r="A12" s="11" t="inlineStr">
        <is>
          <t>M8</t>
        </is>
      </c>
      <c r="B12" s="34" t="inlineStr">
        <is>
          <t>AED</t>
        </is>
      </c>
      <c r="C12" s="22" t="n">
        <v>14</v>
      </c>
      <c r="D12" s="22" t="n">
        <v>14</v>
      </c>
      <c r="E12" s="26">
        <f>C12*Stawka</f>
        <v/>
      </c>
      <c r="F12" s="26">
        <f>D12*Stawka</f>
        <v/>
      </c>
      <c r="G12" s="35" t="inlineStr"/>
    </row>
    <row r="13">
      <c r="A13" s="36" t="inlineStr">
        <is>
          <t>M9</t>
        </is>
      </c>
      <c r="B13" s="38" t="inlineStr">
        <is>
          <t>Logika wyładowań</t>
        </is>
      </c>
      <c r="C13" s="39" t="n">
        <v>17</v>
      </c>
      <c r="D13" s="39" t="n">
        <v>17</v>
      </c>
      <c r="E13" s="40">
        <f>C13*Stawka</f>
        <v/>
      </c>
      <c r="F13" s="40">
        <f>D13*Stawka</f>
        <v/>
      </c>
      <c r="G13" s="41" t="inlineStr"/>
    </row>
    <row r="14">
      <c r="A14" s="11" t="inlineStr">
        <is>
          <t>M10</t>
        </is>
      </c>
      <c r="B14" s="34" t="inlineStr">
        <is>
          <t>Audio (od zera)</t>
        </is>
      </c>
      <c r="C14" s="22" t="n">
        <v>18</v>
      </c>
      <c r="D14" s="22" t="n">
        <v>18</v>
      </c>
      <c r="E14" s="26">
        <f>C14*Stawka</f>
        <v/>
      </c>
      <c r="F14" s="26">
        <f>D14*Stawka</f>
        <v/>
      </c>
      <c r="G14" s="35" t="inlineStr"/>
    </row>
    <row r="15">
      <c r="A15" s="36" t="inlineStr">
        <is>
          <t>M11</t>
        </is>
      </c>
      <c r="B15" s="38" t="inlineStr">
        <is>
          <t>Ustawienia</t>
        </is>
      </c>
      <c r="C15" s="39" t="n">
        <v>11</v>
      </c>
      <c r="D15" s="39" t="n">
        <v>11</v>
      </c>
      <c r="E15" s="40">
        <f>C15*Stawka</f>
        <v/>
      </c>
      <c r="F15" s="40">
        <f>D15*Stawka</f>
        <v/>
      </c>
      <c r="G15" s="41" t="inlineStr"/>
    </row>
    <row r="16">
      <c r="A16" s="11" t="inlineStr">
        <is>
          <t>M12</t>
        </is>
      </c>
      <c r="B16" s="34" t="inlineStr">
        <is>
          <t>Testy</t>
        </is>
      </c>
      <c r="C16" s="22" t="n">
        <v>42</v>
      </c>
      <c r="D16" s="22" t="n">
        <v>42</v>
      </c>
      <c r="E16" s="26">
        <f>C16*Stawka</f>
        <v/>
      </c>
      <c r="F16" s="26">
        <f>D16*Stawka</f>
        <v/>
      </c>
      <c r="G16" s="35" t="inlineStr"/>
    </row>
    <row r="17">
      <c r="A17" s="16" t="n"/>
      <c r="B17" s="9" t="inlineStr">
        <is>
          <t>SUMA moduły stałe</t>
        </is>
      </c>
      <c r="C17" s="25">
        <f>SUM(C6:C16)</f>
        <v/>
      </c>
      <c r="D17" s="25">
        <f>SUM(D6:D16)</f>
        <v/>
      </c>
      <c r="E17" s="43">
        <f>SUM(E6:E16)</f>
        <v/>
      </c>
      <c r="F17" s="43">
        <f>SUM(F6:F16)</f>
        <v/>
      </c>
      <c r="G17" s="16" t="n"/>
    </row>
    <row r="19" ht="20" customHeight="1">
      <c r="A19" s="3" t="inlineStr">
        <is>
          <t>MODUŁY ZMIENNE — zależne od wariantu (wybierz wersję)</t>
        </is>
      </c>
    </row>
    <row r="20" ht="30" customHeight="1">
      <c r="A20" s="4" t="inlineStr">
        <is>
          <t>Nr</t>
        </is>
      </c>
      <c r="B20" s="4" t="inlineStr">
        <is>
          <t>Moduł</t>
        </is>
      </c>
      <c r="C20" s="4" t="inlineStr">
        <is>
          <t>Wersja</t>
        </is>
      </c>
      <c r="D20" s="4" t="inlineStr">
        <is>
          <t>Godziny</t>
        </is>
      </c>
      <c r="E20" s="4" t="inlineStr">
        <is>
          <t>Koszt (PLN)</t>
        </is>
      </c>
      <c r="F20" s="4" t="inlineStr">
        <is>
          <t>—</t>
        </is>
      </c>
      <c r="G20" s="4" t="inlineStr">
        <is>
          <t>Uwagi</t>
        </is>
      </c>
    </row>
    <row r="21">
      <c r="A21" s="11" t="inlineStr">
        <is>
          <t>M2</t>
        </is>
      </c>
      <c r="B21" s="34" t="inlineStr">
        <is>
          <t>Przebiegi</t>
        </is>
      </c>
      <c r="C21" s="34" t="inlineStr">
        <is>
          <t>Prosta (lookup table, uproszczone kształty)</t>
        </is>
      </c>
      <c r="D21" s="22" t="n">
        <v>48</v>
      </c>
      <c r="E21" s="26">
        <f>D21*Stawka</f>
        <v/>
      </c>
      <c r="F21" s="14" t="n"/>
      <c r="G21" s="44" t="inlineStr"/>
    </row>
    <row r="22">
      <c r="A22" s="36" t="inlineStr">
        <is>
          <t>M2</t>
        </is>
      </c>
      <c r="B22" s="38" t="inlineStr">
        <is>
          <t>Przebiegi</t>
        </is>
      </c>
      <c r="C22" s="38" t="inlineStr">
        <is>
          <t>Złożona (matematyczne generatory, wiarygodne)</t>
        </is>
      </c>
      <c r="D22" s="39" t="n">
        <v>83</v>
      </c>
      <c r="E22" s="40">
        <f>D22*Stawka</f>
        <v/>
      </c>
      <c r="F22" s="45" t="n"/>
      <c r="G22" s="46" t="inlineStr"/>
    </row>
    <row r="23">
      <c r="A23" s="11" t="inlineStr">
        <is>
          <t>M3</t>
        </is>
      </c>
      <c r="B23" s="34" t="inlineStr">
        <is>
          <t>Fizjologia + arytmie</t>
        </is>
      </c>
      <c r="C23" s="34" t="inlineStr">
        <is>
          <t>Prosta (17 rytmów, bez korelacji)</t>
        </is>
      </c>
      <c r="D23" s="22" t="n">
        <v>57</v>
      </c>
      <c r="E23" s="26">
        <f>D23*Stawka</f>
        <v/>
      </c>
      <c r="F23" s="14" t="n"/>
      <c r="G23" s="44" t="inlineStr"/>
    </row>
    <row r="24">
      <c r="A24" s="36" t="inlineStr">
        <is>
          <t>M3</t>
        </is>
      </c>
      <c r="B24" s="38" t="inlineStr">
        <is>
          <t>Fizjologia + arytmie</t>
        </is>
      </c>
      <c r="C24" s="38" t="inlineStr">
        <is>
          <t>Złożona (+ silnik korelacji, event-driven)</t>
        </is>
      </c>
      <c r="D24" s="39" t="n">
        <v>97</v>
      </c>
      <c r="E24" s="40">
        <f>D24*Stawka</f>
        <v/>
      </c>
      <c r="F24" s="45" t="n"/>
      <c r="G24" s="46" t="inlineStr"/>
    </row>
    <row r="25">
      <c r="A25" s="11" t="inlineStr">
        <is>
          <t>M7</t>
        </is>
      </c>
      <c r="B25" s="34" t="inlineStr">
        <is>
          <t>Pacing</t>
        </is>
      </c>
      <c r="C25" s="34" t="inlineStr">
        <is>
          <t>Uproszczony (UI + spikes + przełącznik capture)</t>
        </is>
      </c>
      <c r="D25" s="22" t="n">
        <v>13</v>
      </c>
      <c r="E25" s="26">
        <f>D25*Stawka</f>
        <v/>
      </c>
      <c r="F25" s="14" t="n"/>
      <c r="G25" s="44" t="inlineStr"/>
    </row>
    <row r="26">
      <c r="A26" s="36" t="inlineStr">
        <is>
          <t>M7</t>
        </is>
      </c>
      <c r="B26" s="38" t="inlineStr">
        <is>
          <t>Pacing</t>
        </is>
      </c>
      <c r="C26" s="38" t="inlineStr">
        <is>
          <t>Pełny (logika capture, fizjologiczna odpowiedź)</t>
        </is>
      </c>
      <c r="D26" s="39" t="n">
        <v>24</v>
      </c>
      <c r="E26" s="40">
        <f>D26*Stawka</f>
        <v/>
      </c>
      <c r="F26" s="45" t="n"/>
      <c r="G26" s="46" t="inlineStr"/>
    </row>
    <row r="28" ht="20" customHeight="1">
      <c r="A28" s="3" t="inlineStr">
        <is>
          <t>EKRAN ZARZĄDZANIA URZĄDZENIAMI — tylko wersja 1:wielu</t>
        </is>
      </c>
    </row>
    <row r="29" ht="30" customHeight="1">
      <c r="A29" s="4" t="inlineStr">
        <is>
          <t>Opcja</t>
        </is>
      </c>
      <c r="B29" s="4" t="inlineStr">
        <is>
          <t>Opis</t>
        </is>
      </c>
      <c r="C29" s="4" t="inlineStr">
        <is>
          <t>—</t>
        </is>
      </c>
      <c r="D29" s="4" t="inlineStr">
        <is>
          <t>Godziny</t>
        </is>
      </c>
      <c r="E29" s="4" t="inlineStr">
        <is>
          <t>Koszt (PLN)</t>
        </is>
      </c>
      <c r="F29" s="4" t="inlineStr">
        <is>
          <t>—</t>
        </is>
      </c>
      <c r="G29" s="4" t="inlineStr">
        <is>
          <t>Uwagi</t>
        </is>
      </c>
    </row>
    <row r="30">
      <c r="A30" s="11" t="inlineStr">
        <is>
          <t>Opcja A</t>
        </is>
      </c>
      <c r="B30" s="34" t="inlineStr">
        <is>
          <t>broadcast — lista urządzeń + te same parametry do wszystkich</t>
        </is>
      </c>
      <c r="C30" s="14" t="n"/>
      <c r="D30" s="22" t="n">
        <v>12</v>
      </c>
      <c r="E30" s="26">
        <f>D30*Stawka</f>
        <v/>
      </c>
      <c r="F30" s="14" t="n"/>
      <c r="G30" s="14" t="n"/>
    </row>
    <row r="31">
      <c r="A31" s="11" t="inlineStr">
        <is>
          <t>Opcja B</t>
        </is>
      </c>
      <c r="B31" s="34" t="inlineStr">
        <is>
          <t>indywidualne — niezależne sterowanie każdym Monitorem</t>
        </is>
      </c>
      <c r="C31" s="14" t="n"/>
      <c r="D31" s="22" t="n">
        <v>35</v>
      </c>
      <c r="E31" s="26">
        <f>D31*Stawka</f>
        <v/>
      </c>
      <c r="F31" s="14" t="n"/>
      <c r="G31" s="14" t="n"/>
    </row>
    <row r="32">
      <c r="A32" s="11" t="inlineStr">
        <is>
          <t>Opcja C</t>
        </is>
      </c>
      <c r="B32" s="34" t="inlineStr">
        <is>
          <t>broadcast + override — domyślnie broadcast, możliwość nadpisania</t>
        </is>
      </c>
      <c r="C32" s="14" t="n"/>
      <c r="D32" s="22" t="n">
        <v>40</v>
      </c>
      <c r="E32" s="26">
        <f>D32*Stawka</f>
        <v/>
      </c>
      <c r="F32" s="14" t="n"/>
      <c r="G32" s="14" t="n"/>
    </row>
    <row r="34" ht="20" customHeight="1">
      <c r="A34" s="3" t="inlineStr">
        <is>
          <t>PODSUMOWANIE WARIANTÓW (robocizna, bez sprzętu)</t>
        </is>
      </c>
    </row>
    <row r="35" ht="30" customHeight="1">
      <c r="A35" s="4" t="inlineStr">
        <is>
          <t>Wariant</t>
        </is>
      </c>
      <c r="B35" s="4" t="inlineStr">
        <is>
          <t>Sterowanie</t>
        </is>
      </c>
      <c r="C35" s="4" t="inlineStr">
        <is>
          <t>Godziny</t>
        </is>
      </c>
      <c r="D35" s="4" t="inlineStr">
        <is>
          <t>Koszt robocizny (PLN)</t>
        </is>
      </c>
      <c r="E35" s="4" t="inlineStr">
        <is>
          <t>+ Apple Dev (PLN)</t>
        </is>
      </c>
      <c r="F35" s="4" t="inlineStr">
        <is>
          <t>RAZEM (PLN)</t>
        </is>
      </c>
      <c r="G35" s="4" t="inlineStr">
        <is>
          <t>Uwagi</t>
        </is>
      </c>
    </row>
    <row r="36">
      <c r="A36" s="12" t="inlineStr">
        <is>
          <t>1:1 A — prosty</t>
        </is>
      </c>
      <c r="B36" s="7" t="inlineStr">
        <is>
          <t>—</t>
        </is>
      </c>
      <c r="C36" s="22" t="n">
        <v>402</v>
      </c>
      <c r="D36" s="26">
        <f>C36*Stawka</f>
        <v/>
      </c>
      <c r="E36" s="26" t="n">
        <v>400</v>
      </c>
      <c r="F36" s="28">
        <f>D36+E36</f>
        <v/>
      </c>
      <c r="G36" s="14" t="n"/>
    </row>
    <row r="37">
      <c r="A37" s="47" t="inlineStr">
        <is>
          <t>1:1 B</t>
        </is>
      </c>
      <c r="B37" s="48" t="inlineStr">
        <is>
          <t>—</t>
        </is>
      </c>
      <c r="C37" s="39" t="n">
        <v>437</v>
      </c>
      <c r="D37" s="40">
        <f>C37*Stawka</f>
        <v/>
      </c>
      <c r="E37" s="40" t="n">
        <v>400</v>
      </c>
      <c r="F37" s="28">
        <f>D37+E37</f>
        <v/>
      </c>
      <c r="G37" s="45" t="n"/>
    </row>
    <row r="38">
      <c r="A38" s="12" t="inlineStr">
        <is>
          <t>1:1 C</t>
        </is>
      </c>
      <c r="B38" s="7" t="inlineStr">
        <is>
          <t>—</t>
        </is>
      </c>
      <c r="C38" s="22" t="n">
        <v>453</v>
      </c>
      <c r="D38" s="26">
        <f>C38*Stawka</f>
        <v/>
      </c>
      <c r="E38" s="26" t="n">
        <v>400</v>
      </c>
      <c r="F38" s="28">
        <f>D38+E38</f>
        <v/>
      </c>
      <c r="G38" s="14" t="n"/>
    </row>
    <row r="39">
      <c r="A39" s="47" t="inlineStr">
        <is>
          <t>1:1 D — pełny</t>
        </is>
      </c>
      <c r="B39" s="48" t="inlineStr">
        <is>
          <t>—</t>
        </is>
      </c>
      <c r="C39" s="39" t="n">
        <v>488</v>
      </c>
      <c r="D39" s="40">
        <f>C39*Stawka</f>
        <v/>
      </c>
      <c r="E39" s="40" t="n">
        <v>400</v>
      </c>
      <c r="F39" s="28">
        <f>D39+E39</f>
        <v/>
      </c>
      <c r="G39" s="45" t="n"/>
    </row>
    <row r="40">
      <c r="A40" s="12" t="inlineStr">
        <is>
          <t>1:N A — prosty</t>
        </is>
      </c>
      <c r="B40" s="7" t="inlineStr">
        <is>
          <t>Opcja A — broadcast</t>
        </is>
      </c>
      <c r="C40" s="22" t="n">
        <v>434</v>
      </c>
      <c r="D40" s="26">
        <f>C40*Stawka</f>
        <v/>
      </c>
      <c r="E40" s="26" t="n">
        <v>400</v>
      </c>
      <c r="F40" s="28">
        <f>D40+E40</f>
        <v/>
      </c>
      <c r="G40" s="14" t="n"/>
    </row>
    <row r="41">
      <c r="A41" s="47" t="inlineStr">
        <is>
          <t>1:N A — prosty</t>
        </is>
      </c>
      <c r="B41" s="48" t="inlineStr">
        <is>
          <t>Opcja B — indywidualne</t>
        </is>
      </c>
      <c r="C41" s="39" t="n">
        <v>457</v>
      </c>
      <c r="D41" s="40">
        <f>C41*Stawka</f>
        <v/>
      </c>
      <c r="E41" s="40" t="n">
        <v>400</v>
      </c>
      <c r="F41" s="28">
        <f>D41+E41</f>
        <v/>
      </c>
      <c r="G41" s="45" t="n"/>
    </row>
    <row r="42">
      <c r="A42" s="12" t="inlineStr">
        <is>
          <t>1:N A — prosty</t>
        </is>
      </c>
      <c r="B42" s="7" t="inlineStr">
        <is>
          <t>Opcja C — broadcast+override</t>
        </is>
      </c>
      <c r="C42" s="22" t="n">
        <v>462</v>
      </c>
      <c r="D42" s="26">
        <f>C42*Stawka</f>
        <v/>
      </c>
      <c r="E42" s="26" t="n">
        <v>400</v>
      </c>
      <c r="F42" s="28">
        <f>D42+E42</f>
        <v/>
      </c>
      <c r="G42" s="14" t="n"/>
    </row>
    <row r="43">
      <c r="A43" s="47" t="inlineStr">
        <is>
          <t>1:N D — pełny</t>
        </is>
      </c>
      <c r="B43" s="48" t="inlineStr">
        <is>
          <t>Opcja A — broadcast</t>
        </is>
      </c>
      <c r="C43" s="39" t="n">
        <v>520</v>
      </c>
      <c r="D43" s="40">
        <f>C43*Stawka</f>
        <v/>
      </c>
      <c r="E43" s="40" t="n">
        <v>400</v>
      </c>
      <c r="F43" s="28">
        <f>D43+E43</f>
        <v/>
      </c>
      <c r="G43" s="45" t="n"/>
    </row>
    <row r="44">
      <c r="A44" s="12" t="inlineStr">
        <is>
          <t>1:N D — pełny</t>
        </is>
      </c>
      <c r="B44" s="7" t="inlineStr">
        <is>
          <t>Opcja B — indywidualne</t>
        </is>
      </c>
      <c r="C44" s="22" t="n">
        <v>543</v>
      </c>
      <c r="D44" s="26">
        <f>C44*Stawka</f>
        <v/>
      </c>
      <c r="E44" s="26" t="n">
        <v>400</v>
      </c>
      <c r="F44" s="28">
        <f>D44+E44</f>
        <v/>
      </c>
      <c r="G44" s="14" t="n"/>
    </row>
    <row r="45">
      <c r="A45" s="47" t="inlineStr">
        <is>
          <t>1:N D — pełny</t>
        </is>
      </c>
      <c r="B45" s="48" t="inlineStr">
        <is>
          <t>Opcja C — broadcast+override</t>
        </is>
      </c>
      <c r="C45" s="39" t="n">
        <v>548</v>
      </c>
      <c r="D45" s="40">
        <f>C45*Stawka</f>
        <v/>
      </c>
      <c r="E45" s="40" t="n">
        <v>400</v>
      </c>
      <c r="F45" s="28">
        <f>D45+E45</f>
        <v/>
      </c>
      <c r="G45" s="45" t="n"/>
    </row>
    <row r="47">
      <c r="A47" s="15" t="inlineStr">
        <is>
          <t>Port na Android (delta): +40 h (~2 000 PLN) — Wi-Fi Direct/NSD zamiast Multipeer + testy + poprawki UI.</t>
        </is>
      </c>
    </row>
  </sheetData>
  <mergeCells count="10">
    <mergeCell ref="B30:C30"/>
    <mergeCell ref="A1:G1"/>
    <mergeCell ref="A34:G34"/>
    <mergeCell ref="A4:G4"/>
    <mergeCell ref="A2:G2"/>
    <mergeCell ref="B32:C32"/>
    <mergeCell ref="B31:C31"/>
    <mergeCell ref="A19:G19"/>
    <mergeCell ref="A47:G47"/>
    <mergeCell ref="A28:G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4" customWidth="1" min="4" max="4"/>
    <col width="30" customWidth="1" min="5" max="5"/>
  </cols>
  <sheetData>
    <row r="1" ht="26" customHeight="1">
      <c r="A1" s="1" t="inlineStr">
        <is>
          <t>WYCENA V3 — Realistyczna: szczegółowe rozbicie na czynności (Wariant A)</t>
        </is>
      </c>
    </row>
    <row r="2">
      <c r="A2" s="21" t="inlineStr">
        <is>
          <t>Własny kod · pełny zakres · PM 5% + bufor 15% · kolejność realizacji M1→M12 · kolumna korekt reuse dla Wariantu C</t>
        </is>
      </c>
    </row>
    <row r="4" ht="30" customHeight="1">
      <c r="A4" s="4" t="inlineStr">
        <is>
          <t>Nr</t>
        </is>
      </c>
      <c r="B4" s="4" t="inlineStr">
        <is>
          <t>Kamień milowy / czynność</t>
        </is>
      </c>
      <c r="C4" s="4" t="inlineStr">
        <is>
          <t>Godziny</t>
        </is>
      </c>
      <c r="D4" s="4" t="inlineStr">
        <is>
          <t>Koszt (PLN)</t>
        </is>
      </c>
      <c r="E4" s="4" t="inlineStr">
        <is>
          <t>Uwagi</t>
        </is>
      </c>
    </row>
    <row r="5" ht="18" customHeight="1">
      <c r="A5" s="3" t="inlineStr">
        <is>
          <t>M1 — Architektura i komunikacja P2P</t>
        </is>
      </c>
    </row>
    <row r="6">
      <c r="A6" s="14" t="inlineStr"/>
      <c r="B6" s="34" t="inlineStr">
        <is>
          <t>Projekt architektury: warstwy, MVVM, abstrakcja transportu pod przyszły Android</t>
        </is>
      </c>
      <c r="C6" s="22" t="n">
        <v>16</v>
      </c>
      <c r="D6" s="26">
        <f>C6*Stawka</f>
        <v/>
      </c>
      <c r="E6" s="35" t="inlineStr"/>
    </row>
    <row r="7">
      <c r="A7" s="14" t="inlineStr"/>
      <c r="B7" s="34" t="inlineStr">
        <is>
          <t>Ekran startowy + wybór roli (Pilot / Monitor)</t>
        </is>
      </c>
      <c r="C7" s="22" t="n">
        <v>8</v>
      </c>
      <c r="D7" s="26">
        <f>C7*Stawka</f>
        <v/>
      </c>
      <c r="E7" s="35" t="inlineStr"/>
    </row>
    <row r="8">
      <c r="A8" s="14" t="inlineStr"/>
      <c r="B8" s="34" t="inlineStr">
        <is>
          <t>PoC Multipeer Connectivity w MAUI (binding warstwy natywnej, wykrywanie)</t>
        </is>
      </c>
      <c r="C8" s="22" t="n">
        <v>24</v>
      </c>
      <c r="D8" s="26">
        <f>C8*Stawka</f>
        <v/>
      </c>
      <c r="E8" s="35" t="inlineStr">
        <is>
          <t>Ryzyko R1</t>
        </is>
      </c>
    </row>
    <row r="9">
      <c r="A9" s="14" t="inlineStr"/>
      <c r="B9" s="34" t="inlineStr">
        <is>
          <t>Warstwa synchronizacji stanu w czasie rzeczywistym (model, protokół, serializacja)</t>
        </is>
      </c>
      <c r="C9" s="22" t="n">
        <v>24</v>
      </c>
      <c r="D9" s="26">
        <f>C9*Stawka</f>
        <v/>
      </c>
      <c r="E9" s="35" t="inlineStr"/>
    </row>
    <row r="10">
      <c r="A10" s="14" t="inlineStr"/>
      <c r="B10" s="34" t="inlineStr">
        <is>
          <t>Lista dostępnych Pilotów + wybór bez wpisywania kodu</t>
        </is>
      </c>
      <c r="C10" s="22" t="n">
        <v>10</v>
      </c>
      <c r="D10" s="26">
        <f>C10*Stawka</f>
        <v/>
      </c>
      <c r="E10" s="35" t="inlineStr"/>
    </row>
    <row r="11">
      <c r="A11" s="14" t="inlineStr"/>
      <c r="B11" s="34" t="inlineStr">
        <is>
          <t>Obsługa rozłączeń / reconnect + wskaźnik stanu połączenia</t>
        </is>
      </c>
      <c r="C11" s="22" t="n">
        <v>12</v>
      </c>
      <c r="D11" s="26">
        <f>C11*Stawka</f>
        <v/>
      </c>
      <c r="E11" s="35" t="inlineStr"/>
    </row>
    <row r="12">
      <c r="A12" s="14" t="inlineStr"/>
      <c r="B12" s="34" t="inlineStr">
        <is>
          <t>Testy komunikacji na 2 fizycznych iPadach</t>
        </is>
      </c>
      <c r="C12" s="22" t="n">
        <v>10</v>
      </c>
      <c r="D12" s="26">
        <f>C12*Stawka</f>
        <v/>
      </c>
      <c r="E12" s="35" t="inlineStr">
        <is>
          <t>Wymaga 2 iPadów</t>
        </is>
      </c>
    </row>
    <row r="13">
      <c r="A13" s="17" t="n"/>
      <c r="B13" s="49" t="inlineStr">
        <is>
          <t>Razem M1</t>
        </is>
      </c>
      <c r="C13" s="24">
        <f>SUM(C6:C12)</f>
        <v/>
      </c>
      <c r="D13" s="50">
        <f>SUM(D6:D12)</f>
        <v/>
      </c>
      <c r="E13" s="17" t="n"/>
    </row>
    <row r="14" ht="18" customHeight="1">
      <c r="A14" s="3" t="inlineStr">
        <is>
          <t>M2 — Widok Monitora (silnik przebiegów + parametry)</t>
        </is>
      </c>
    </row>
    <row r="15">
      <c r="A15" s="14" t="inlineStr"/>
      <c r="B15" s="34" t="inlineStr">
        <is>
          <t>Silnik renderowania przebiegów (rysowanie, animacja, skala czasu)</t>
        </is>
      </c>
      <c r="C15" s="22" t="n">
        <v>30</v>
      </c>
      <c r="D15" s="26">
        <f>C15*Stawka</f>
        <v/>
      </c>
      <c r="E15" s="35" t="inlineStr">
        <is>
          <t>Główny driver kosztów</t>
        </is>
      </c>
    </row>
    <row r="16">
      <c r="A16" s="14" t="inlineStr"/>
      <c r="B16" s="34" t="inlineStr">
        <is>
          <t>Przebiegi bazowe: EKG, pleth/SpO₂, ciśnienie tętnicze, CVP/PAP, EtCO₂</t>
        </is>
      </c>
      <c r="C16" s="22" t="n">
        <v>40</v>
      </c>
      <c r="D16" s="26">
        <f>C16*Stawka</f>
        <v/>
      </c>
      <c r="E16" s="35" t="inlineStr"/>
    </row>
    <row r="17">
      <c r="A17" s="14" t="inlineStr"/>
      <c r="B17" s="34" t="inlineStr">
        <is>
          <t>Kolumna parametrów liczbowych (HR, SpO₂, BP, CVP, PAP, EtCO₂, RR, Temp, Timer)</t>
        </is>
      </c>
      <c r="C17" s="22" t="n">
        <v>20</v>
      </c>
      <c r="D17" s="26">
        <f>C17*Stawka</f>
        <v/>
      </c>
      <c r="E17" s="35" t="inlineStr"/>
    </row>
    <row r="18">
      <c r="A18" s="14" t="inlineStr"/>
      <c r="B18" s="34" t="inlineStr">
        <is>
          <t>Layout monitora (ciemne tło, czytelność z odległości, układ iPad)</t>
        </is>
      </c>
      <c r="C18" s="22" t="n">
        <v>16</v>
      </c>
      <c r="D18" s="26">
        <f>C18*Stawka</f>
        <v/>
      </c>
      <c r="E18" s="35" t="inlineStr"/>
    </row>
    <row r="19">
      <c r="A19" s="14" t="inlineStr"/>
      <c r="B19" s="34" t="inlineStr">
        <is>
          <t>Synchronizacja przebiegów i parametrów z Pilotem</t>
        </is>
      </c>
      <c r="C19" s="22" t="n">
        <v>14</v>
      </c>
      <c r="D19" s="26">
        <f>C19*Stawka</f>
        <v/>
      </c>
      <c r="E19" s="35" t="inlineStr"/>
    </row>
    <row r="20">
      <c r="A20" s="17" t="n"/>
      <c r="B20" s="49" t="inlineStr">
        <is>
          <t>Razem M2</t>
        </is>
      </c>
      <c r="C20" s="24">
        <f>SUM(C15:C19)</f>
        <v/>
      </c>
      <c r="D20" s="50">
        <f>SUM(D15:D19)</f>
        <v/>
      </c>
      <c r="E20" s="17" t="n"/>
    </row>
    <row r="21" ht="18" customHeight="1">
      <c r="A21" s="3" t="inlineStr">
        <is>
          <t>M3 — Pilot: pulpit instruktora</t>
        </is>
      </c>
    </row>
    <row r="22">
      <c r="A22" s="14" t="inlineStr"/>
      <c r="B22" s="34" t="inlineStr">
        <is>
          <t>Layout Pilota (podgląd monitora + panel sterowania)</t>
        </is>
      </c>
      <c r="C22" s="22" t="n">
        <v>16</v>
      </c>
      <c r="D22" s="26">
        <f>C22*Stawka</f>
        <v/>
      </c>
      <c r="E22" s="35" t="inlineStr"/>
    </row>
    <row r="23">
      <c r="A23" s="14" t="inlineStr"/>
      <c r="B23" s="34" t="inlineStr">
        <is>
          <t>Ręczna zmiana parametrów (kontrolki, walidacja, wysyłka do Monitora)</t>
        </is>
      </c>
      <c r="C23" s="22" t="n">
        <v>24</v>
      </c>
      <c r="D23" s="26">
        <f>C23*Stawka</f>
        <v/>
      </c>
      <c r="E23" s="35" t="inlineStr"/>
    </row>
    <row r="24">
      <c r="A24" s="14" t="inlineStr"/>
      <c r="B24" s="34" t="inlineStr">
        <is>
          <t>UI wyboru rytmów i zakłóceń</t>
        </is>
      </c>
      <c r="C24" s="22" t="n">
        <v>16</v>
      </c>
      <c r="D24" s="26">
        <f>C24*Stawka</f>
        <v/>
      </c>
      <c r="E24" s="35" t="inlineStr"/>
    </row>
    <row r="25">
      <c r="A25" s="14" t="inlineStr"/>
      <c r="B25" s="34" t="inlineStr">
        <is>
          <t>Podgląd stanu połączenia i statusów</t>
        </is>
      </c>
      <c r="C25" s="22" t="n">
        <v>8</v>
      </c>
      <c r="D25" s="26">
        <f>C25*Stawka</f>
        <v/>
      </c>
      <c r="E25" s="35" t="inlineStr"/>
    </row>
    <row r="26">
      <c r="A26" s="14" t="inlineStr"/>
      <c r="B26" s="34" t="inlineStr">
        <is>
          <t>Integracja z warstwą synchronizacji</t>
        </is>
      </c>
      <c r="C26" s="22" t="n">
        <v>12</v>
      </c>
      <c r="D26" s="26">
        <f>C26*Stawka</f>
        <v/>
      </c>
      <c r="E26" s="35" t="inlineStr"/>
    </row>
    <row r="27">
      <c r="A27" s="17" t="n"/>
      <c r="B27" s="49" t="inlineStr">
        <is>
          <t>Razem M3</t>
        </is>
      </c>
      <c r="C27" s="24">
        <f>SUM(C22:C26)</f>
        <v/>
      </c>
      <c r="D27" s="50">
        <f>SUM(D22:D26)</f>
        <v/>
      </c>
      <c r="E27" s="17" t="n"/>
    </row>
    <row r="28" ht="18" customHeight="1">
      <c r="A28" s="3" t="inlineStr">
        <is>
          <t>M4 — Arytmie i zakłócenia (stany przebiegów)</t>
        </is>
      </c>
    </row>
    <row r="29">
      <c r="A29" s="14" t="inlineStr"/>
      <c r="B29" s="34" t="inlineStr">
        <is>
          <t>EKG: 17 stanów (bloki, AF, flutter, junctional, LBBB/RBBB, ST, SVT, Torsades, VF, VT, Noise)</t>
        </is>
      </c>
      <c r="C29" s="22" t="n">
        <v>60</v>
      </c>
      <c r="D29" s="26">
        <f>C29*Stawka</f>
        <v/>
      </c>
      <c r="E29" s="35" t="inlineStr">
        <is>
          <t>Wiarygodność = główny driver</t>
        </is>
      </c>
    </row>
    <row r="30">
      <c r="A30" s="14" t="inlineStr"/>
      <c r="B30" s="34" t="inlineStr">
        <is>
          <t>EtCO₂: 8 stanów</t>
        </is>
      </c>
      <c r="C30" s="22" t="n">
        <v>16</v>
      </c>
      <c r="D30" s="26">
        <f>C30*Stawka</f>
        <v/>
      </c>
      <c r="E30" s="35" t="inlineStr"/>
    </row>
    <row r="31">
      <c r="A31" s="14" t="inlineStr"/>
      <c r="B31" s="34" t="inlineStr">
        <is>
          <t>PAP / CVP: 7 stanów</t>
        </is>
      </c>
      <c r="C31" s="22" t="n">
        <v>16</v>
      </c>
      <c r="D31" s="26">
        <f>C31*Stawka</f>
        <v/>
      </c>
      <c r="E31" s="35" t="inlineStr"/>
    </row>
    <row r="32">
      <c r="A32" s="14" t="inlineStr"/>
      <c r="B32" s="34" t="inlineStr">
        <is>
          <t>Arterial / BP: 4 stany</t>
        </is>
      </c>
      <c r="C32" s="22" t="n">
        <v>10</v>
      </c>
      <c r="D32" s="26">
        <f>C32*Stawka</f>
        <v/>
      </c>
      <c r="E32" s="35" t="inlineStr"/>
    </row>
    <row r="33">
      <c r="A33" s="14" t="inlineStr"/>
      <c r="B33" s="34" t="inlineStr">
        <is>
          <t>Mechanizm przełączania stanów + wpływ na parametry + synchronizacja</t>
        </is>
      </c>
      <c r="C33" s="22" t="n">
        <v>16</v>
      </c>
      <c r="D33" s="26">
        <f>C33*Stawka</f>
        <v/>
      </c>
      <c r="E33" s="35" t="inlineStr"/>
    </row>
    <row r="34">
      <c r="A34" s="14" t="inlineStr"/>
      <c r="B34" s="34" t="inlineStr">
        <is>
          <t>Testy wiarygodności wizualnej</t>
        </is>
      </c>
      <c r="C34" s="22" t="n">
        <v>12</v>
      </c>
      <c r="D34" s="26">
        <f>C34*Stawka</f>
        <v/>
      </c>
      <c r="E34" s="35" t="inlineStr"/>
    </row>
    <row r="35">
      <c r="A35" s="17" t="n"/>
      <c r="B35" s="49" t="inlineStr">
        <is>
          <t>Razem M4</t>
        </is>
      </c>
      <c r="C35" s="24">
        <f>SUM(C29:C34)</f>
        <v/>
      </c>
      <c r="D35" s="50">
        <f>SUM(D29:D34)</f>
        <v/>
      </c>
      <c r="E35" s="17" t="n"/>
    </row>
    <row r="36" ht="18" customHeight="1">
      <c r="A36" s="3" t="inlineStr">
        <is>
          <t>M5 — System scenariuszy</t>
        </is>
      </c>
    </row>
    <row r="37">
      <c r="A37" s="14" t="inlineStr"/>
      <c r="B37" s="34" t="inlineStr">
        <is>
          <t>Model danych scenariusza (parametry, rytm, zakłócenia, terapie, notatki)</t>
        </is>
      </c>
      <c r="C37" s="22" t="n">
        <v>12</v>
      </c>
      <c r="D37" s="26">
        <f>C37*Stawka</f>
        <v/>
      </c>
      <c r="E37" s="35" t="inlineStr"/>
    </row>
    <row r="38">
      <c r="A38" s="14" t="inlineStr"/>
      <c r="B38" s="34" t="inlineStr">
        <is>
          <t>Zapis lokalny (persistencja danych na urządzeniu)</t>
        </is>
      </c>
      <c r="C38" s="22" t="n">
        <v>12</v>
      </c>
      <c r="D38" s="26">
        <f>C38*Stawka</f>
        <v/>
      </c>
      <c r="E38" s="35" t="inlineStr"/>
    </row>
    <row r="39">
      <c r="A39" s="14" t="inlineStr"/>
      <c r="B39" s="34" t="inlineStr">
        <is>
          <t>CRUD: tworzenie / edycja / kopiowanie / usuwanie</t>
        </is>
      </c>
      <c r="C39" s="22" t="n">
        <v>24</v>
      </c>
      <c r="D39" s="26">
        <f>C39*Stawka</f>
        <v/>
      </c>
      <c r="E39" s="35" t="inlineStr"/>
    </row>
    <row r="40">
      <c r="A40" s="14" t="inlineStr"/>
      <c r="B40" s="34" t="inlineStr">
        <is>
          <t>Edytor scenariuszy (interfejs)</t>
        </is>
      </c>
      <c r="C40" s="22" t="n">
        <v>28</v>
      </c>
      <c r="D40" s="26">
        <f>C40*Stawka</f>
        <v/>
      </c>
      <c r="E40" s="35" t="inlineStr"/>
    </row>
    <row r="41">
      <c r="A41" s="14" t="inlineStr"/>
      <c r="B41" s="34" t="inlineStr">
        <is>
          <t>Szybkie uruchamianie + przełączanie scenariuszy w trakcie szkolenia</t>
        </is>
      </c>
      <c r="C41" s="22" t="n">
        <v>16</v>
      </c>
      <c r="D41" s="26">
        <f>C41*Stawka</f>
        <v/>
      </c>
      <c r="E41" s="35" t="inlineStr"/>
    </row>
    <row r="42">
      <c r="A42" s="14" t="inlineStr"/>
      <c r="B42" s="34" t="inlineStr">
        <is>
          <t>Testy</t>
        </is>
      </c>
      <c r="C42" s="22" t="n">
        <v>10</v>
      </c>
      <c r="D42" s="26">
        <f>C42*Stawka</f>
        <v/>
      </c>
      <c r="E42" s="35" t="inlineStr"/>
    </row>
    <row r="43">
      <c r="A43" s="17" t="n"/>
      <c r="B43" s="49" t="inlineStr">
        <is>
          <t>Razem M5</t>
        </is>
      </c>
      <c r="C43" s="24">
        <f>SUM(C37:C42)</f>
        <v/>
      </c>
      <c r="D43" s="50">
        <f>SUM(D37:D42)</f>
        <v/>
      </c>
      <c r="E43" s="17" t="n"/>
    </row>
    <row r="44" ht="18" customHeight="1">
      <c r="A44" s="3" t="inlineStr">
        <is>
          <t>M6 — Tryb Defib (defibrylacja)</t>
        </is>
      </c>
    </row>
    <row r="45">
      <c r="A45" s="14" t="inlineStr"/>
      <c r="B45" s="34" t="inlineStr">
        <is>
          <t>Widok Defib + lokalne przełączanie widoków Monitor / Defib / AED</t>
        </is>
      </c>
      <c r="C45" s="22" t="n">
        <v>16</v>
      </c>
      <c r="D45" s="26">
        <f>C45*Stawka</f>
        <v/>
      </c>
      <c r="E45" s="35" t="inlineStr"/>
    </row>
    <row r="46">
      <c r="A46" s="14" t="inlineStr"/>
      <c r="B46" s="34" t="inlineStr">
        <is>
          <t>Panel wspólny (POWER, ENERGY, CHARGE, SHOCK, DISARM)</t>
        </is>
      </c>
      <c r="C46" s="22" t="n">
        <v>16</v>
      </c>
      <c r="D46" s="26">
        <f>C46*Stawka</f>
        <v/>
      </c>
      <c r="E46" s="35" t="inlineStr"/>
    </row>
    <row r="47">
      <c r="A47" s="14" t="inlineStr"/>
      <c r="B47" s="34" t="inlineStr">
        <is>
          <t>Wybór energii 10–360 J + animacja ładowania</t>
        </is>
      </c>
      <c r="C47" s="22" t="n">
        <v>14</v>
      </c>
      <c r="D47" s="26">
        <f>C47*Stawka</f>
        <v/>
      </c>
      <c r="E47" s="35" t="inlineStr"/>
    </row>
    <row r="48">
      <c r="A48" s="14" t="inlineStr"/>
      <c r="B48" s="34" t="inlineStr">
        <is>
          <t>SHOCK: efekt wizualny + dźwiękowy</t>
        </is>
      </c>
      <c r="C48" s="22" t="n">
        <v>12</v>
      </c>
      <c r="D48" s="26">
        <f>C48*Stawka</f>
        <v/>
      </c>
      <c r="E48" s="35" t="inlineStr"/>
    </row>
    <row r="49">
      <c r="A49" s="14" t="inlineStr"/>
      <c r="B49" s="34" t="inlineStr">
        <is>
          <t>Integracja z logiką zmiany rytmu</t>
        </is>
      </c>
      <c r="C49" s="22" t="n">
        <v>8</v>
      </c>
      <c r="D49" s="26">
        <f>C49*Stawka</f>
        <v/>
      </c>
      <c r="E49" s="35" t="inlineStr"/>
    </row>
    <row r="50">
      <c r="A50" s="14" t="inlineStr"/>
      <c r="B50" s="34" t="inlineStr">
        <is>
          <t>Testy</t>
        </is>
      </c>
      <c r="C50" s="22" t="n">
        <v>8</v>
      </c>
      <c r="D50" s="26">
        <f>C50*Stawka</f>
        <v/>
      </c>
      <c r="E50" s="35" t="inlineStr"/>
    </row>
    <row r="51">
      <c r="A51" s="17" t="n"/>
      <c r="B51" s="49" t="inlineStr">
        <is>
          <t>Razem M6</t>
        </is>
      </c>
      <c r="C51" s="24">
        <f>SUM(C45:C50)</f>
        <v/>
      </c>
      <c r="D51" s="50">
        <f>SUM(D45:D50)</f>
        <v/>
      </c>
      <c r="E51" s="17" t="n"/>
    </row>
    <row r="52" ht="18" customHeight="1">
      <c r="A52" s="3" t="inlineStr">
        <is>
          <t>M7 — Tryb AED</t>
        </is>
      </c>
    </row>
    <row r="53">
      <c r="A53" s="14" t="inlineStr"/>
      <c r="B53" s="34" t="inlineStr">
        <is>
          <t>Widok AED + logika prowadzenia (analiza, komunikaty, shock advised / no shock)</t>
        </is>
      </c>
      <c r="C53" s="22" t="n">
        <v>28</v>
      </c>
      <c r="D53" s="26">
        <f>C53*Stawka</f>
        <v/>
      </c>
      <c r="E53" s="35" t="inlineStr"/>
    </row>
    <row r="54">
      <c r="A54" s="14" t="inlineStr"/>
      <c r="B54" s="34" t="inlineStr">
        <is>
          <t>Integracja z logiką zmiany rytmu po wyładowaniach</t>
        </is>
      </c>
      <c r="C54" s="22" t="n">
        <v>10</v>
      </c>
      <c r="D54" s="26">
        <f>C54*Stawka</f>
        <v/>
      </c>
      <c r="E54" s="35" t="inlineStr"/>
    </row>
    <row r="55">
      <c r="A55" s="14" t="inlineStr"/>
      <c r="B55" s="34" t="inlineStr">
        <is>
          <t>Audio / komunikaty głosowe AED</t>
        </is>
      </c>
      <c r="C55" s="22" t="n">
        <v>8</v>
      </c>
      <c r="D55" s="26">
        <f>C55*Stawka</f>
        <v/>
      </c>
      <c r="E55" s="35" t="inlineStr"/>
    </row>
    <row r="56">
      <c r="A56" s="14" t="inlineStr"/>
      <c r="B56" s="34" t="inlineStr">
        <is>
          <t>Testy</t>
        </is>
      </c>
      <c r="C56" s="22" t="n">
        <v>8</v>
      </c>
      <c r="D56" s="26">
        <f>C56*Stawka</f>
        <v/>
      </c>
      <c r="E56" s="35" t="inlineStr"/>
    </row>
    <row r="57">
      <c r="A57" s="17" t="n"/>
      <c r="B57" s="49" t="inlineStr">
        <is>
          <t>Razem M7</t>
        </is>
      </c>
      <c r="C57" s="24">
        <f>SUM(C53:C56)</f>
        <v/>
      </c>
      <c r="D57" s="50">
        <f>SUM(D53:D56)</f>
        <v/>
      </c>
      <c r="E57" s="17" t="n"/>
    </row>
    <row r="58" ht="18" customHeight="1">
      <c r="A58" s="3" t="inlineStr">
        <is>
          <t>M8 — Kardiowersja zsynchronizowana</t>
        </is>
      </c>
    </row>
    <row r="59">
      <c r="A59" s="14" t="inlineStr"/>
      <c r="B59" s="34" t="inlineStr">
        <is>
          <t>Tryb SYNC + znacznik synchronizacji / marker R-wave</t>
        </is>
      </c>
      <c r="C59" s="22" t="n">
        <v>16</v>
      </c>
      <c r="D59" s="26">
        <f>C59*Stawka</f>
        <v/>
      </c>
      <c r="E59" s="35" t="inlineStr"/>
    </row>
    <row r="60">
      <c r="A60" s="14" t="inlineStr"/>
      <c r="B60" s="34" t="inlineStr">
        <is>
          <t>Ładowanie + wyładowanie zsynchronizowane</t>
        </is>
      </c>
      <c r="C60" s="22" t="n">
        <v>12</v>
      </c>
      <c r="D60" s="26">
        <f>C60*Stawka</f>
        <v/>
      </c>
      <c r="E60" s="35" t="inlineStr"/>
    </row>
    <row r="61">
      <c r="A61" s="14" t="inlineStr"/>
      <c r="B61" s="34" t="inlineStr">
        <is>
          <t>Efekty + integracja z logiką rytmu</t>
        </is>
      </c>
      <c r="C61" s="22" t="n">
        <v>10</v>
      </c>
      <c r="D61" s="26">
        <f>C61*Stawka</f>
        <v/>
      </c>
      <c r="E61" s="35" t="inlineStr"/>
    </row>
    <row r="62">
      <c r="A62" s="14" t="inlineStr"/>
      <c r="B62" s="34" t="inlineStr">
        <is>
          <t>Testy</t>
        </is>
      </c>
      <c r="C62" s="22" t="n">
        <v>6</v>
      </c>
      <c r="D62" s="26">
        <f>C62*Stawka</f>
        <v/>
      </c>
      <c r="E62" s="35" t="inlineStr"/>
    </row>
    <row r="63">
      <c r="A63" s="17" t="n"/>
      <c r="B63" s="49" t="inlineStr">
        <is>
          <t>Razem M8</t>
        </is>
      </c>
      <c r="C63" s="24">
        <f>SUM(C59:C62)</f>
        <v/>
      </c>
      <c r="D63" s="50">
        <f>SUM(D59:D62)</f>
        <v/>
      </c>
      <c r="E63" s="17" t="n"/>
    </row>
    <row r="64" ht="18" customHeight="1">
      <c r="A64" s="3" t="inlineStr">
        <is>
          <t>M9 — Stymulacja (Pacing) — model uproszczony</t>
        </is>
      </c>
    </row>
    <row r="65">
      <c r="A65" s="14" t="inlineStr"/>
      <c r="B65" s="34" t="inlineStr">
        <is>
          <t>Tryb pacing: rate, output / mA, start / stop</t>
        </is>
      </c>
      <c r="C65" s="22" t="n">
        <v>18</v>
      </c>
      <c r="D65" s="26">
        <f>C65*Stawka</f>
        <v/>
      </c>
      <c r="E65" s="35" t="inlineStr"/>
    </row>
    <row r="66">
      <c r="A66" s="14" t="inlineStr"/>
      <c r="B66" s="34" t="inlineStr">
        <is>
          <t>Wizualizacja pobudzeń stymulowanych na EKG</t>
        </is>
      </c>
      <c r="C66" s="22" t="n">
        <v>16</v>
      </c>
      <c r="D66" s="26">
        <f>C66*Stawka</f>
        <v/>
      </c>
      <c r="E66" s="35" t="inlineStr"/>
    </row>
    <row r="67">
      <c r="A67" s="14" t="inlineStr"/>
      <c r="B67" s="34" t="inlineStr">
        <is>
          <t>Uproszczony model capture / no-capture</t>
        </is>
      </c>
      <c r="C67" s="22" t="n">
        <v>12</v>
      </c>
      <c r="D67" s="26">
        <f>C67*Stawka</f>
        <v/>
      </c>
      <c r="E67" s="35" t="inlineStr">
        <is>
          <t>Pełny model = Opcja B</t>
        </is>
      </c>
    </row>
    <row r="68">
      <c r="A68" s="14" t="inlineStr"/>
      <c r="B68" s="34" t="inlineStr">
        <is>
          <t>Testy</t>
        </is>
      </c>
      <c r="C68" s="22" t="n">
        <v>6</v>
      </c>
      <c r="D68" s="26">
        <f>C68*Stawka</f>
        <v/>
      </c>
      <c r="E68" s="35" t="inlineStr"/>
    </row>
    <row r="69">
      <c r="A69" s="17" t="n"/>
      <c r="B69" s="49" t="inlineStr">
        <is>
          <t>Razem M9</t>
        </is>
      </c>
      <c r="C69" s="24">
        <f>SUM(C65:C68)</f>
        <v/>
      </c>
      <c r="D69" s="50">
        <f>SUM(D65:D68)</f>
        <v/>
      </c>
      <c r="E69" s="17" t="n"/>
    </row>
    <row r="70" ht="18" customHeight="1">
      <c r="A70" s="3" t="inlineStr">
        <is>
          <t>M10 — Logika wyładowań i zmiany rytmu (konfigurowalna)</t>
        </is>
      </c>
    </row>
    <row r="71">
      <c r="A71" s="14" t="inlineStr"/>
      <c r="B71" s="34" t="inlineStr">
        <is>
          <t>Silnik reguł (po ilu wyładowaniach → jaki rytm; łańcuch reguł)</t>
        </is>
      </c>
      <c r="C71" s="22" t="n">
        <v>20</v>
      </c>
      <c r="D71" s="26">
        <f>C71*Stawka</f>
        <v/>
      </c>
      <c r="E71" s="35" t="inlineStr"/>
    </row>
    <row r="72">
      <c r="A72" s="14" t="inlineStr"/>
      <c r="B72" s="34" t="inlineStr">
        <is>
          <t>Konfiguracja w Pilocie + przypisanie do scenariusza</t>
        </is>
      </c>
      <c r="C72" s="22" t="n">
        <v>16</v>
      </c>
      <c r="D72" s="26">
        <f>C72*Stawka</f>
        <v/>
      </c>
      <c r="E72" s="35" t="inlineStr"/>
    </row>
    <row r="73">
      <c r="A73" s="14" t="inlineStr"/>
      <c r="B73" s="34" t="inlineStr">
        <is>
          <t>Wspólne dla Defib i AED</t>
        </is>
      </c>
      <c r="C73" s="22" t="n">
        <v>8</v>
      </c>
      <c r="D73" s="26">
        <f>C73*Stawka</f>
        <v/>
      </c>
      <c r="E73" s="35" t="inlineStr"/>
    </row>
    <row r="74">
      <c r="A74" s="14" t="inlineStr"/>
      <c r="B74" s="34" t="inlineStr">
        <is>
          <t>Testy</t>
        </is>
      </c>
      <c r="C74" s="22" t="n">
        <v>8</v>
      </c>
      <c r="D74" s="26">
        <f>C74*Stawka</f>
        <v/>
      </c>
      <c r="E74" s="35" t="inlineStr"/>
    </row>
    <row r="75">
      <c r="A75" s="17" t="n"/>
      <c r="B75" s="49" t="inlineStr">
        <is>
          <t>Razem M10</t>
        </is>
      </c>
      <c r="C75" s="24">
        <f>SUM(C71:C74)</f>
        <v/>
      </c>
      <c r="D75" s="50">
        <f>SUM(D71:D74)</f>
        <v/>
      </c>
      <c r="E75" s="17" t="n"/>
    </row>
    <row r="76" ht="18" customHeight="1">
      <c r="A76" s="3" t="inlineStr">
        <is>
          <t>M11 — Ustawienia (audio, metronom, terapie)</t>
        </is>
      </c>
    </row>
    <row r="77">
      <c r="A77" s="14" t="inlineStr"/>
      <c r="B77" s="34" t="inlineStr">
        <is>
          <t>Ustawienia aplikacji</t>
        </is>
      </c>
      <c r="C77" s="22" t="n">
        <v>10</v>
      </c>
      <c r="D77" s="26">
        <f>C77*Stawka</f>
        <v/>
      </c>
      <c r="E77" s="35" t="inlineStr"/>
    </row>
    <row r="78">
      <c r="A78" s="14" t="inlineStr"/>
      <c r="B78" s="34" t="inlineStr">
        <is>
          <t>Ustawienia audio</t>
        </is>
      </c>
      <c r="C78" s="22" t="n">
        <v>8</v>
      </c>
      <c r="D78" s="26">
        <f>C78*Stawka</f>
        <v/>
      </c>
      <c r="E78" s="35" t="inlineStr"/>
    </row>
    <row r="79">
      <c r="A79" s="14" t="inlineStr"/>
      <c r="B79" s="34" t="inlineStr">
        <is>
          <t>Metronom (RKO)</t>
        </is>
      </c>
      <c r="C79" s="22" t="n">
        <v>12</v>
      </c>
      <c r="D79" s="26">
        <f>C79*Stawka</f>
        <v/>
      </c>
      <c r="E79" s="35" t="inlineStr"/>
    </row>
    <row r="80">
      <c r="A80" s="14" t="inlineStr"/>
      <c r="B80" s="34" t="inlineStr">
        <is>
          <t>Ustawienia trybów terapii (Defib / AED / kardiowersja / pacing)</t>
        </is>
      </c>
      <c r="C80" s="22" t="n">
        <v>10</v>
      </c>
      <c r="D80" s="26">
        <f>C80*Stawka</f>
        <v/>
      </c>
      <c r="E80" s="35" t="inlineStr"/>
    </row>
    <row r="81">
      <c r="A81" s="17" t="n"/>
      <c r="B81" s="49" t="inlineStr">
        <is>
          <t>Razem M11</t>
        </is>
      </c>
      <c r="C81" s="24">
        <f>SUM(C77:C80)</f>
        <v/>
      </c>
      <c r="D81" s="50">
        <f>SUM(D77:D80)</f>
        <v/>
      </c>
      <c r="E81" s="17" t="n"/>
    </row>
    <row r="82" ht="18" customHeight="1">
      <c r="A82" s="3" t="inlineStr">
        <is>
          <t>M12 — Testy, stabilizacja, UX, dystrybucja</t>
        </is>
      </c>
    </row>
    <row r="83">
      <c r="A83" s="14" t="inlineStr"/>
      <c r="B83" s="34" t="inlineStr">
        <is>
          <t>Testy integracyjne end-to-end na 2 urządzeniach</t>
        </is>
      </c>
      <c r="C83" s="22" t="n">
        <v>24</v>
      </c>
      <c r="D83" s="26">
        <f>C83*Stawka</f>
        <v/>
      </c>
      <c r="E83" s="35" t="inlineStr"/>
    </row>
    <row r="84">
      <c r="A84" s="14" t="inlineStr"/>
      <c r="B84" s="34" t="inlineStr">
        <is>
          <t>Stabilizacja połączenia + przypadki brzegowe</t>
        </is>
      </c>
      <c r="C84" s="22" t="n">
        <v>20</v>
      </c>
      <c r="D84" s="26">
        <f>C84*Stawka</f>
        <v/>
      </c>
      <c r="E84" s="35" t="inlineStr"/>
    </row>
    <row r="85">
      <c r="A85" s="14" t="inlineStr"/>
      <c r="B85" s="34" t="inlineStr">
        <is>
          <t>Dopracowanie UX i czytelności</t>
        </is>
      </c>
      <c r="C85" s="22" t="n">
        <v>16</v>
      </c>
      <c r="D85" s="26">
        <f>C85*Stawka</f>
        <v/>
      </c>
      <c r="E85" s="35" t="inlineStr"/>
    </row>
    <row r="86">
      <c r="A86" s="14" t="inlineStr"/>
      <c r="B86" s="34" t="inlineStr">
        <is>
          <t>Konfiguracja TestFlight + build dystrybucyjny</t>
        </is>
      </c>
      <c r="C86" s="22" t="n">
        <v>16</v>
      </c>
      <c r="D86" s="26">
        <f>C86*Stawka</f>
        <v/>
      </c>
      <c r="E86" s="35" t="inlineStr"/>
    </row>
    <row r="87">
      <c r="A87" s="14" t="inlineStr"/>
      <c r="B87" s="34" t="inlineStr">
        <is>
          <t>Dokumentacja użytkownika / instruktora</t>
        </is>
      </c>
      <c r="C87" s="22" t="n">
        <v>12</v>
      </c>
      <c r="D87" s="26">
        <f>C87*Stawka</f>
        <v/>
      </c>
      <c r="E87" s="35" t="inlineStr"/>
    </row>
    <row r="88">
      <c r="A88" s="17" t="n"/>
      <c r="B88" s="49" t="inlineStr">
        <is>
          <t>Razem M12</t>
        </is>
      </c>
      <c r="C88" s="24">
        <f>SUM(C83:C87)</f>
        <v/>
      </c>
      <c r="D88" s="50">
        <f>SUM(D83:D87)</f>
        <v/>
      </c>
      <c r="E88" s="17" t="n"/>
    </row>
    <row r="89">
      <c r="A89" s="16" t="n"/>
      <c r="B89" s="42" t="inlineStr">
        <is>
          <t>RAZEM MODUŁY (development + testy)</t>
        </is>
      </c>
      <c r="C89" s="25">
        <f>C13+C20+C27+C35+C43+C51+C57+C63+C69+C75+C81+C88</f>
        <v/>
      </c>
      <c r="D89" s="43">
        <f>D13+D20+D27+D35+D43+D51+D57+D63+D69+D75+D81+D88</f>
        <v/>
      </c>
      <c r="E89" s="16" t="n"/>
    </row>
    <row r="90">
      <c r="A90" s="14" t="n"/>
      <c r="B90" s="7" t="inlineStr">
        <is>
          <t>Zarządzanie projektem (PM)</t>
        </is>
      </c>
      <c r="C90" s="22">
        <f>ROUND(C89*PM_proc,0)</f>
        <v/>
      </c>
      <c r="D90" s="26">
        <f>C90*Stawka</f>
        <v/>
      </c>
      <c r="E90" s="51" t="inlineStr">
        <is>
          <t>5% × godziny modułów</t>
        </is>
      </c>
    </row>
    <row r="91">
      <c r="A91" s="14" t="n"/>
      <c r="B91" s="7" t="inlineStr">
        <is>
          <t>Bufor ryzyka / rezerwa</t>
        </is>
      </c>
      <c r="C91" s="22">
        <f>ROUND(C89*Bufor_proc,0)</f>
        <v/>
      </c>
      <c r="D91" s="26">
        <f>C91*Stawka</f>
        <v/>
      </c>
      <c r="E91" s="51" t="inlineStr">
        <is>
          <t>15% × godziny modułów</t>
        </is>
      </c>
    </row>
    <row r="92">
      <c r="A92" s="13" t="n"/>
      <c r="B92" s="52" t="inlineStr">
        <is>
          <t>RAZEM PRACA (Wariant A)</t>
        </is>
      </c>
      <c r="C92" s="53">
        <f>C89+C90+C91</f>
        <v/>
      </c>
      <c r="D92" s="28">
        <f>D89+D90+D91</f>
        <v/>
      </c>
      <c r="E92" s="13" t="n"/>
    </row>
    <row r="94" ht="20" customHeight="1">
      <c r="A94" s="3" t="inlineStr">
        <is>
          <t>WARIANTY V3 — porównanie (z PM + bufor)</t>
        </is>
      </c>
    </row>
    <row r="95" ht="30" customHeight="1">
      <c r="A95" s="4" t="inlineStr">
        <is>
          <t>Wariant</t>
        </is>
      </c>
      <c r="B95" s="4" t="inlineStr">
        <is>
          <t>Opis</t>
        </is>
      </c>
      <c r="C95" s="4" t="inlineStr">
        <is>
          <t>Godziny RAZEM</t>
        </is>
      </c>
      <c r="D95" s="4" t="inlineStr">
        <is>
          <t>Robocizna (PLN)</t>
        </is>
      </c>
      <c r="E95" s="4" t="inlineStr">
        <is>
          <t>Uwagi</t>
        </is>
      </c>
    </row>
    <row r="96">
      <c r="A96" s="12" t="inlineStr">
        <is>
          <t>A — Podstawowy (1:1)</t>
        </is>
      </c>
      <c r="B96" s="34" t="inlineStr">
        <is>
          <t>Własny kod, pełny zakres M1–M12</t>
        </is>
      </c>
      <c r="C96" s="22" t="n">
        <v>1123</v>
      </c>
      <c r="D96" s="28">
        <f>C96*Stawka</f>
        <v/>
      </c>
      <c r="E96" s="35" t="inlineStr">
        <is>
          <t>Bazowy wariant tego arkusza</t>
        </is>
      </c>
    </row>
    <row r="97">
      <c r="A97" s="12" t="inlineStr">
        <is>
          <t>B — + Opcja 1:N</t>
        </is>
      </c>
      <c r="B97" s="34" t="inlineStr">
        <is>
          <t>Wariant A + połączenie 1 Pilot → do 4 Monitorów</t>
        </is>
      </c>
      <c r="C97" s="22" t="n">
        <v>1279</v>
      </c>
      <c r="D97" s="28">
        <f>C97*Stawka</f>
        <v/>
      </c>
      <c r="E97" s="35" t="inlineStr">
        <is>
          <t>Opcja 1:N wliczona</t>
        </is>
      </c>
    </row>
    <row r="98">
      <c r="A98" s="12" t="inlineStr">
        <is>
          <t>C — + reuse II Library</t>
        </is>
      </c>
      <c r="B98" s="34" t="inlineStr">
        <is>
          <t>Wariant A z ponownym użyciem Infirmary Integrated</t>
        </is>
      </c>
      <c r="C98" s="22" t="n">
        <v>989</v>
      </c>
      <c r="D98" s="28">
        <f>C98*Stawka</f>
        <v/>
      </c>
      <c r="E98" s="35" t="inlineStr">
        <is>
          <t>Patrz korekty reuse niżej / arkusz V4</t>
        </is>
      </c>
    </row>
    <row r="100" ht="20" customHeight="1">
      <c r="A100" s="3" t="inlineStr">
        <is>
          <t>KOREKTY REUSE — Wariant C (Infirmary Integrated, Apache 2.0)</t>
        </is>
      </c>
    </row>
    <row r="101" ht="30" customHeight="1">
      <c r="A101" s="4" t="inlineStr">
        <is>
          <t>Moduł</t>
        </is>
      </c>
      <c r="B101" s="4" t="inlineStr">
        <is>
          <t>Godz. własny (A)</t>
        </is>
      </c>
      <c r="C101" s="4" t="inlineStr">
        <is>
          <t>Korekta reuse</t>
        </is>
      </c>
      <c r="D101" s="4" t="inlineStr">
        <is>
          <t>Godz. Wariant C</t>
        </is>
      </c>
      <c r="E101" s="4" t="inlineStr">
        <is>
          <t>Uwaga</t>
        </is>
      </c>
    </row>
    <row r="102">
      <c r="A102" s="7" t="inlineStr">
        <is>
          <t>M1 — Architektura i P2P</t>
        </is>
      </c>
      <c r="B102" s="22" t="n">
        <v>104</v>
      </c>
      <c r="C102" s="54" t="n">
        <v>0</v>
      </c>
      <c r="D102" s="55">
        <f>B102+C102</f>
        <v/>
      </c>
      <c r="E102" s="35" t="inlineStr">
        <is>
          <t>Własna warstwa — bez reuse</t>
        </is>
      </c>
    </row>
    <row r="103">
      <c r="A103" s="48" t="inlineStr">
        <is>
          <t>M2 — Widok Monitora</t>
        </is>
      </c>
      <c r="B103" s="39" t="n">
        <v>120</v>
      </c>
      <c r="C103" s="56" t="n">
        <v>-40</v>
      </c>
      <c r="D103" s="57">
        <f>B103+C103</f>
        <v/>
      </c>
      <c r="E103" s="41" t="inlineStr">
        <is>
          <t>Reuse silnika fal i przebiegów</t>
        </is>
      </c>
    </row>
    <row r="104">
      <c r="A104" s="7" t="inlineStr">
        <is>
          <t>M3 — Pilot: pulpit</t>
        </is>
      </c>
      <c r="B104" s="22" t="n">
        <v>76</v>
      </c>
      <c r="C104" s="54" t="n">
        <v>0</v>
      </c>
      <c r="D104" s="55">
        <f>B104+C104</f>
        <v/>
      </c>
      <c r="E104" s="35" t="inlineStr">
        <is>
          <t>Własny UI</t>
        </is>
      </c>
    </row>
    <row r="105">
      <c r="A105" s="48" t="inlineStr">
        <is>
          <t>M4 — Arytmie i zakłócenia</t>
        </is>
      </c>
      <c r="B105" s="39" t="n">
        <v>130</v>
      </c>
      <c r="C105" s="56" t="n">
        <v>-60</v>
      </c>
      <c r="D105" s="57">
        <f>B105+C105</f>
        <v/>
      </c>
      <c r="E105" s="41" t="inlineStr">
        <is>
          <t>Reuse 30+ rytmów (największa oszczędność)</t>
        </is>
      </c>
    </row>
    <row r="106">
      <c r="A106" s="7" t="inlineStr">
        <is>
          <t>M5 — System scenariuszy</t>
        </is>
      </c>
      <c r="B106" s="22" t="n">
        <v>102</v>
      </c>
      <c r="C106" s="54" t="n">
        <v>-20</v>
      </c>
      <c r="D106" s="55">
        <f>B106+C106</f>
        <v/>
      </c>
      <c r="E106" s="35" t="inlineStr">
        <is>
          <t>Reuse modelu danych scenariusza</t>
        </is>
      </c>
    </row>
    <row r="107">
      <c r="A107" s="48" t="inlineStr">
        <is>
          <t>M6 — Tryb Defib</t>
        </is>
      </c>
      <c r="B107" s="39" t="n">
        <v>74</v>
      </c>
      <c r="C107" s="56" t="n">
        <v>-10</v>
      </c>
      <c r="D107" s="57">
        <f>B107+C107</f>
        <v/>
      </c>
      <c r="E107" s="41" t="inlineStr">
        <is>
          <t>Reuse logiki defibrylacji</t>
        </is>
      </c>
    </row>
    <row r="108">
      <c r="A108" s="7" t="inlineStr">
        <is>
          <t>M7 — Tryb AED</t>
        </is>
      </c>
      <c r="B108" s="22" t="n">
        <v>54</v>
      </c>
      <c r="C108" s="54" t="n">
        <v>-8</v>
      </c>
      <c r="D108" s="55">
        <f>B108+C108</f>
        <v/>
      </c>
      <c r="E108" s="35" t="inlineStr">
        <is>
          <t>Reuse logiki AED</t>
        </is>
      </c>
    </row>
    <row r="109">
      <c r="A109" s="48" t="inlineStr">
        <is>
          <t>M8 — Kardiowersja</t>
        </is>
      </c>
      <c r="B109" s="39" t="n">
        <v>44</v>
      </c>
      <c r="C109" s="56" t="n">
        <v>-8</v>
      </c>
      <c r="D109" s="57">
        <f>B109+C109</f>
        <v/>
      </c>
      <c r="E109" s="41" t="inlineStr">
        <is>
          <t>Reuse logiki kardiowersji</t>
        </is>
      </c>
    </row>
    <row r="110">
      <c r="A110" s="7" t="inlineStr">
        <is>
          <t>M9 — Stymulacja</t>
        </is>
      </c>
      <c r="B110" s="22" t="n">
        <v>52</v>
      </c>
      <c r="C110" s="54" t="n">
        <v>-10</v>
      </c>
      <c r="D110" s="55">
        <f>B110+C110</f>
        <v/>
      </c>
      <c r="E110" s="35" t="inlineStr">
        <is>
          <t>Reuse logiki pacingu</t>
        </is>
      </c>
    </row>
    <row r="111">
      <c r="A111" s="48" t="inlineStr">
        <is>
          <t>M10 — Logika wyładowań</t>
        </is>
      </c>
      <c r="B111" s="39" t="n">
        <v>52</v>
      </c>
      <c r="C111" s="56" t="n">
        <v>0</v>
      </c>
      <c r="D111" s="57">
        <f>B111+C111</f>
        <v/>
      </c>
      <c r="E111" s="41" t="inlineStr">
        <is>
          <t>Własny silnik reguł</t>
        </is>
      </c>
    </row>
    <row r="112">
      <c r="A112" s="7" t="inlineStr">
        <is>
          <t>M11 — Ustawienia</t>
        </is>
      </c>
      <c r="B112" s="22" t="n">
        <v>40</v>
      </c>
      <c r="C112" s="54" t="n">
        <v>0</v>
      </c>
      <c r="D112" s="55">
        <f>B112+C112</f>
        <v/>
      </c>
      <c r="E112" s="35" t="inlineStr">
        <is>
          <t>Własne</t>
        </is>
      </c>
    </row>
    <row r="113">
      <c r="A113" s="48" t="inlineStr">
        <is>
          <t>M12 — Testy i dystrybucja</t>
        </is>
      </c>
      <c r="B113" s="39" t="n">
        <v>88</v>
      </c>
      <c r="C113" s="56" t="n">
        <v>0</v>
      </c>
      <c r="D113" s="57">
        <f>B113+C113</f>
        <v/>
      </c>
      <c r="E113" s="41" t="inlineStr">
        <is>
          <t>Bez zmian</t>
        </is>
      </c>
    </row>
    <row r="114">
      <c r="A114" s="7" t="inlineStr">
        <is>
          <t>Port II Library → MAUI</t>
        </is>
      </c>
      <c r="B114" s="22" t="n">
        <v>0</v>
      </c>
      <c r="C114" s="54" t="n">
        <v>40</v>
      </c>
      <c r="D114" s="55">
        <f>B114+C114</f>
        <v/>
      </c>
      <c r="E114" s="35" t="inlineStr">
        <is>
          <t>Usunięcie zależności desktopowych, refaktor</t>
        </is>
      </c>
    </row>
    <row r="115">
      <c r="A115" s="48" t="inlineStr">
        <is>
          <t>Obsługa licencji Apache 2.0</t>
        </is>
      </c>
      <c r="B115" s="39" t="n">
        <v>0</v>
      </c>
      <c r="C115" s="56" t="n">
        <v>4</v>
      </c>
      <c r="D115" s="57">
        <f>B115+C115</f>
        <v/>
      </c>
      <c r="E115" s="41" t="inlineStr">
        <is>
          <t>Atrybucja, plik NOTICE, zgodność</t>
        </is>
      </c>
    </row>
    <row r="116">
      <c r="A116" s="42" t="inlineStr">
        <is>
          <t>RAZEM moduły — Wariant C</t>
        </is>
      </c>
      <c r="B116" s="25">
        <f>SUM(B102:B115)</f>
        <v/>
      </c>
      <c r="C116" s="58">
        <f>SUM(C102:C115)</f>
        <v/>
      </c>
      <c r="D116" s="25">
        <f>SUM(D102:D115)</f>
        <v/>
      </c>
      <c r="E116" s="16" t="n"/>
    </row>
  </sheetData>
  <mergeCells count="16">
    <mergeCell ref="A21:E21"/>
    <mergeCell ref="A100:E100"/>
    <mergeCell ref="A2:E2"/>
    <mergeCell ref="A52:E52"/>
    <mergeCell ref="A64:E64"/>
    <mergeCell ref="A28:E28"/>
    <mergeCell ref="A82:E82"/>
    <mergeCell ref="A76:E76"/>
    <mergeCell ref="A1:E1"/>
    <mergeCell ref="A5:E5"/>
    <mergeCell ref="A94:E94"/>
    <mergeCell ref="A36:E36"/>
    <mergeCell ref="A14:E14"/>
    <mergeCell ref="A44:E44"/>
    <mergeCell ref="A58:E58"/>
    <mergeCell ref="A70:E7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3" customWidth="1" min="3" max="3"/>
    <col width="13" customWidth="1" min="4" max="4"/>
    <col width="14" customWidth="1" min="5" max="5"/>
    <col width="34" customWidth="1" min="6" max="6"/>
  </cols>
  <sheetData>
    <row r="1" ht="26" customHeight="1">
      <c r="A1" s="59" t="inlineStr">
        <is>
          <t>WYCENA V4 — ZUNIFIKOWANA ★ (reuse + PM 5% + bufor 15% + koszty sprzętu)</t>
        </is>
      </c>
    </row>
    <row r="2">
      <c r="A2" s="21" t="inlineStr">
        <is>
          <t>REKOMENDOWANA, pełna oferta · zakres V3 + oszczędność reuse + zarządzanie + bufor ryzyka + sprzęt · kolejność realizacji M1→M12</t>
        </is>
      </c>
    </row>
    <row r="4" ht="30" customHeight="1">
      <c r="A4" s="4" t="inlineStr">
        <is>
          <t>Nr</t>
        </is>
      </c>
      <c r="B4" s="4" t="inlineStr">
        <is>
          <t>Kamień milowy / moduł</t>
        </is>
      </c>
      <c r="C4" s="4" t="inlineStr">
        <is>
          <t>Godz. własny (A)</t>
        </is>
      </c>
      <c r="D4" s="4" t="inlineStr">
        <is>
          <t>Korekta reuse</t>
        </is>
      </c>
      <c r="E4" s="4" t="inlineStr">
        <is>
          <t>Godz. V4</t>
        </is>
      </c>
      <c r="F4" s="4" t="inlineStr">
        <is>
          <t>Koszt V4 (PLN) / Uwaga</t>
        </is>
      </c>
    </row>
    <row r="5" ht="28" customHeight="1">
      <c r="A5" s="11" t="inlineStr">
        <is>
          <t>M1</t>
        </is>
      </c>
      <c r="B5" s="33" t="inlineStr">
        <is>
          <t>P2P i architektura</t>
        </is>
      </c>
      <c r="C5" s="22" t="n">
        <v>104</v>
      </c>
      <c r="D5" s="54" t="n">
        <v>0</v>
      </c>
      <c r="E5" s="55">
        <f>C5+D5</f>
        <v/>
      </c>
      <c r="F5" s="35" t="inlineStr">
        <is>
          <t>Własna warstwa Multipeer; największe ryzyko techniczne</t>
        </is>
      </c>
    </row>
    <row r="6" ht="28" customHeight="1">
      <c r="A6" s="36" t="inlineStr">
        <is>
          <t>M2</t>
        </is>
      </c>
      <c r="B6" s="37" t="inlineStr">
        <is>
          <t>Widok Monitora (przebiegi)</t>
        </is>
      </c>
      <c r="C6" s="39" t="n">
        <v>120</v>
      </c>
      <c r="D6" s="56" t="n">
        <v>-40</v>
      </c>
      <c r="E6" s="57">
        <f>C6+D6</f>
        <v/>
      </c>
      <c r="F6" s="41" t="inlineStr">
        <is>
          <t>Reuse silnika fal z II Library; integracja SkiaSharp/MAUI</t>
        </is>
      </c>
    </row>
    <row r="7" ht="28" customHeight="1">
      <c r="A7" s="11" t="inlineStr">
        <is>
          <t>M3</t>
        </is>
      </c>
      <c r="B7" s="33" t="inlineStr">
        <is>
          <t>Pilot: pulpit instruktora</t>
        </is>
      </c>
      <c r="C7" s="22" t="n">
        <v>76</v>
      </c>
      <c r="D7" s="54" t="n">
        <v>0</v>
      </c>
      <c r="E7" s="55">
        <f>C7+D7</f>
        <v/>
      </c>
      <c r="F7" s="35" t="inlineStr">
        <is>
          <t>Własny UI instruktora</t>
        </is>
      </c>
    </row>
    <row r="8" ht="28" customHeight="1">
      <c r="A8" s="36" t="inlineStr">
        <is>
          <t>M4</t>
        </is>
      </c>
      <c r="B8" s="37" t="inlineStr">
        <is>
          <t>Arytmie i zakłócenia</t>
        </is>
      </c>
      <c r="C8" s="39" t="n">
        <v>130</v>
      </c>
      <c r="D8" s="56" t="n">
        <v>-60</v>
      </c>
      <c r="E8" s="57">
        <f>C8+D8</f>
        <v/>
      </c>
      <c r="F8" s="41" t="inlineStr">
        <is>
          <t>Reuse 30+ rytmów; weryfikacja wizualna i dopasowanie MAUI</t>
        </is>
      </c>
    </row>
    <row r="9" ht="28" customHeight="1">
      <c r="A9" s="11" t="inlineStr">
        <is>
          <t>M5</t>
        </is>
      </c>
      <c r="B9" s="33" t="inlineStr">
        <is>
          <t>System scenariuszy</t>
        </is>
      </c>
      <c r="C9" s="22" t="n">
        <v>102</v>
      </c>
      <c r="D9" s="54" t="n">
        <v>-20</v>
      </c>
      <c r="E9" s="55">
        <f>C9+D9</f>
        <v/>
      </c>
      <c r="F9" s="35" t="inlineStr">
        <is>
          <t>Reuse modelu danych; własny edytor CRUD</t>
        </is>
      </c>
    </row>
    <row r="10" ht="28" customHeight="1">
      <c r="A10" s="36" t="inlineStr">
        <is>
          <t>M6</t>
        </is>
      </c>
      <c r="B10" s="37" t="inlineStr">
        <is>
          <t>Tryb Defib</t>
        </is>
      </c>
      <c r="C10" s="39" t="n">
        <v>74</v>
      </c>
      <c r="D10" s="56" t="n">
        <v>-10</v>
      </c>
      <c r="E10" s="57">
        <f>C10+D10</f>
        <v/>
      </c>
      <c r="F10" s="41" t="inlineStr">
        <is>
          <t>Reuse logiki defibrylacji</t>
        </is>
      </c>
    </row>
    <row r="11" ht="28" customHeight="1">
      <c r="A11" s="11" t="inlineStr">
        <is>
          <t>M7</t>
        </is>
      </c>
      <c r="B11" s="33" t="inlineStr">
        <is>
          <t>Tryb AED</t>
        </is>
      </c>
      <c r="C11" s="22" t="n">
        <v>54</v>
      </c>
      <c r="D11" s="54" t="n">
        <v>-8</v>
      </c>
      <c r="E11" s="55">
        <f>C11+D11</f>
        <v/>
      </c>
      <c r="F11" s="35" t="inlineStr">
        <is>
          <t>Reuse logiki AED</t>
        </is>
      </c>
    </row>
    <row r="12" ht="28" customHeight="1">
      <c r="A12" s="36" t="inlineStr">
        <is>
          <t>M8</t>
        </is>
      </c>
      <c r="B12" s="37" t="inlineStr">
        <is>
          <t>Kardiowersja zsynchronizowana</t>
        </is>
      </c>
      <c r="C12" s="39" t="n">
        <v>44</v>
      </c>
      <c r="D12" s="56" t="n">
        <v>-8</v>
      </c>
      <c r="E12" s="57">
        <f>C12+D12</f>
        <v/>
      </c>
      <c r="F12" s="41" t="inlineStr">
        <is>
          <t>Reuse logiki kardiowersji</t>
        </is>
      </c>
    </row>
    <row r="13" ht="28" customHeight="1">
      <c r="A13" s="11" t="inlineStr">
        <is>
          <t>M9</t>
        </is>
      </c>
      <c r="B13" s="33" t="inlineStr">
        <is>
          <t>Stymulacja (pacing)</t>
        </is>
      </c>
      <c r="C13" s="22" t="n">
        <v>52</v>
      </c>
      <c r="D13" s="54" t="n">
        <v>-10</v>
      </c>
      <c r="E13" s="55">
        <f>C13+D13</f>
        <v/>
      </c>
      <c r="F13" s="35" t="inlineStr">
        <is>
          <t>Reuse logiki pacingu; model uproszczony</t>
        </is>
      </c>
    </row>
    <row r="14" ht="28" customHeight="1">
      <c r="A14" s="36" t="inlineStr">
        <is>
          <t>M10</t>
        </is>
      </c>
      <c r="B14" s="37" t="inlineStr">
        <is>
          <t>Logika wyładowań</t>
        </is>
      </c>
      <c r="C14" s="39" t="n">
        <v>52</v>
      </c>
      <c r="D14" s="56" t="n">
        <v>0</v>
      </c>
      <c r="E14" s="57">
        <f>C14+D14</f>
        <v/>
      </c>
      <c r="F14" s="41" t="inlineStr">
        <is>
          <t>Własny silnik reguł</t>
        </is>
      </c>
    </row>
    <row r="15" ht="28" customHeight="1">
      <c r="A15" s="11" t="inlineStr">
        <is>
          <t>M11</t>
        </is>
      </c>
      <c r="B15" s="33" t="inlineStr">
        <is>
          <t>Ustawienia i audio</t>
        </is>
      </c>
      <c r="C15" s="22" t="n">
        <v>40</v>
      </c>
      <c r="D15" s="54" t="n">
        <v>0</v>
      </c>
      <c r="E15" s="55">
        <f>C15+D15</f>
        <v/>
      </c>
      <c r="F15" s="35" t="inlineStr">
        <is>
          <t>Własne ustawienia, audio, metronom</t>
        </is>
      </c>
    </row>
    <row r="16" ht="28" customHeight="1">
      <c r="A16" s="36" t="inlineStr">
        <is>
          <t>M12</t>
        </is>
      </c>
      <c r="B16" s="37" t="inlineStr">
        <is>
          <t>Testy i dystrybucja</t>
        </is>
      </c>
      <c r="C16" s="39" t="n">
        <v>88</v>
      </c>
      <c r="D16" s="56" t="n">
        <v>0</v>
      </c>
      <c r="E16" s="57">
        <f>C16+D16</f>
        <v/>
      </c>
      <c r="F16" s="41" t="inlineStr">
        <is>
          <t>Testy P2P na fizycznych iPadach; TestFlight</t>
        </is>
      </c>
    </row>
    <row r="17" ht="28" customHeight="1">
      <c r="A17" s="11" t="inlineStr">
        <is>
          <t>+</t>
        </is>
      </c>
      <c r="B17" s="33" t="inlineStr">
        <is>
          <t>Port II Library → MAUI</t>
        </is>
      </c>
      <c r="C17" s="22" t="n">
        <v>0</v>
      </c>
      <c r="D17" s="54" t="n">
        <v>40</v>
      </c>
      <c r="E17" s="55">
        <f>C17+D17</f>
        <v/>
      </c>
      <c r="F17" s="35" t="inlineStr">
        <is>
          <t>Usunięcie zależności desktopowych, refaktor</t>
        </is>
      </c>
    </row>
    <row r="18" ht="28" customHeight="1">
      <c r="A18" s="36" t="inlineStr">
        <is>
          <t>+</t>
        </is>
      </c>
      <c r="B18" s="37" t="inlineStr">
        <is>
          <t>Obsługa licencji Apache 2.0</t>
        </is>
      </c>
      <c r="C18" s="39" t="n">
        <v>0</v>
      </c>
      <c r="D18" s="56" t="n">
        <v>4</v>
      </c>
      <c r="E18" s="57">
        <f>C18+D18</f>
        <v/>
      </c>
      <c r="F18" s="41" t="inlineStr">
        <is>
          <t>Atrybucja, plik NOTICE, zgodność</t>
        </is>
      </c>
    </row>
    <row r="19">
      <c r="A19" s="16" t="n"/>
      <c r="B19" s="42" t="inlineStr">
        <is>
          <t>SUMA MODUŁÓW</t>
        </is>
      </c>
      <c r="C19" s="25">
        <f>SUM(C5:C18)</f>
        <v/>
      </c>
      <c r="D19" s="16" t="n"/>
      <c r="E19" s="25">
        <f>SUM(E5:E18)</f>
        <v/>
      </c>
      <c r="F19" s="43">
        <f>E19*Stawka</f>
        <v/>
      </c>
    </row>
    <row r="20">
      <c r="A20" s="14" t="n"/>
      <c r="B20" s="7" t="inlineStr">
        <is>
          <t>Zarządzanie projektem (PM 5%)</t>
        </is>
      </c>
      <c r="C20" s="14" t="n"/>
      <c r="D20" s="14" t="n"/>
      <c r="E20" s="22">
        <f>ROUND(E19*PM_proc,0)</f>
        <v/>
      </c>
      <c r="F20" s="26">
        <f>E20*Stawka</f>
        <v/>
      </c>
    </row>
    <row r="21">
      <c r="A21" s="14" t="n"/>
      <c r="B21" s="7" t="inlineStr">
        <is>
          <t>Bufor ryzyka (15%)</t>
        </is>
      </c>
      <c r="C21" s="14" t="n"/>
      <c r="D21" s="14" t="n"/>
      <c r="E21" s="22">
        <f>ROUND(E19*Bufor_proc,0)</f>
        <v/>
      </c>
      <c r="F21" s="26">
        <f>E21*Stawka</f>
        <v/>
      </c>
    </row>
    <row r="22">
      <c r="A22" s="13" t="n"/>
      <c r="B22" s="52" t="inlineStr">
        <is>
          <t>RAZEM GODZINY / ROBOCIZNA</t>
        </is>
      </c>
      <c r="C22" s="13" t="n"/>
      <c r="D22" s="13" t="n"/>
      <c r="E22" s="53">
        <f>E19+E20+E21</f>
        <v/>
      </c>
      <c r="F22" s="28">
        <f>E22*Stawka</f>
        <v/>
      </c>
    </row>
    <row r="24" ht="20" customHeight="1">
      <c r="A24" s="3" t="inlineStr">
        <is>
          <t>KOSZTY STAŁE (sprzęt, konta, licencje)</t>
        </is>
      </c>
    </row>
    <row r="25" ht="30" customHeight="1">
      <c r="A25" s="4" t="inlineStr"/>
      <c r="B25" s="4" t="inlineStr">
        <is>
          <t>Pozycja</t>
        </is>
      </c>
      <c r="C25" s="4" t="inlineStr">
        <is>
          <t>Ilość</t>
        </is>
      </c>
      <c r="D25" s="4" t="inlineStr">
        <is>
          <t>—</t>
        </is>
      </c>
      <c r="E25" s="4" t="inlineStr">
        <is>
          <t>Koszt (PLN)</t>
        </is>
      </c>
      <c r="F25" s="4" t="inlineStr">
        <is>
          <t>Uwaga</t>
        </is>
      </c>
    </row>
    <row r="26">
      <c r="A26" s="14" t="n"/>
      <c r="B26" s="34" t="inlineStr">
        <is>
          <t>Mac mini M4 (host budowania iOS)</t>
        </is>
      </c>
      <c r="C26" s="60" t="n">
        <v>0</v>
      </c>
      <c r="D26" s="14" t="n"/>
      <c r="E26" s="26" t="n">
        <v>0</v>
      </c>
      <c r="F26" s="35" t="inlineStr">
        <is>
          <t>Klient posiada — 0 PLN. Bez Maca: ~2 500–3 500 PLN.</t>
        </is>
      </c>
    </row>
    <row r="27">
      <c r="A27" s="45" t="n"/>
      <c r="B27" s="38" t="inlineStr">
        <is>
          <t>Apple Developer Program (99 USD/rok)</t>
        </is>
      </c>
      <c r="C27" s="61" t="n">
        <v>1</v>
      </c>
      <c r="D27" s="45" t="n"/>
      <c r="E27" s="40">
        <f>ROUND(99*KursUSD,0)</f>
        <v/>
      </c>
      <c r="F27" s="41" t="inlineStr">
        <is>
          <t>Wymagany do TestFlight i podpisywania</t>
        </is>
      </c>
    </row>
    <row r="28">
      <c r="A28" s="14" t="n"/>
      <c r="B28" s="34" t="inlineStr">
        <is>
          <t>2 × iPad 10. gen (testy P2P)</t>
        </is>
      </c>
      <c r="C28" s="60" t="n">
        <v>2</v>
      </c>
      <c r="D28" s="14" t="n"/>
      <c r="E28" s="26" t="n">
        <v>5000</v>
      </c>
      <c r="F28" s="35" t="inlineStr">
        <is>
          <t>Min. 2 do testów komunikacji P2P</t>
        </is>
      </c>
    </row>
    <row r="29">
      <c r="A29" s="45" t="n"/>
      <c r="B29" s="38" t="inlineStr">
        <is>
          <t>Akcesoria (etui, kable, ładowarki)</t>
        </is>
      </c>
      <c r="C29" s="61" t="n">
        <v>1</v>
      </c>
      <c r="D29" s="45" t="n"/>
      <c r="E29" s="40" t="n">
        <v>300</v>
      </c>
      <c r="F29" s="41" t="inlineStr">
        <is>
          <t>Szacunkowo</t>
        </is>
      </c>
    </row>
    <row r="30">
      <c r="A30" s="17" t="n"/>
      <c r="B30" s="49" t="inlineStr">
        <is>
          <t>RAZEM koszty stałe</t>
        </is>
      </c>
      <c r="C30" s="17" t="n"/>
      <c r="D30" s="17" t="n"/>
      <c r="E30" s="50">
        <f>SUM(E26:E29)</f>
        <v/>
      </c>
      <c r="F30" s="17" t="n"/>
    </row>
    <row r="31" ht="24" customHeight="1">
      <c r="A31" s="62" t="n"/>
      <c r="B31" s="63" t="inlineStr">
        <is>
          <t>★ SUMA CAŁKOWITA (robocizna + sprzęt)</t>
        </is>
      </c>
      <c r="C31" s="62" t="n"/>
      <c r="D31" s="62" t="n"/>
      <c r="E31" s="64">
        <f>F22+E30</f>
        <v/>
      </c>
      <c r="F31" s="62" t="n"/>
    </row>
  </sheetData>
  <mergeCells count="3">
    <mergeCell ref="A24:F24"/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4" customWidth="1" min="4" max="4"/>
    <col width="16" customWidth="1" min="5" max="5"/>
    <col width="30" customWidth="1" min="6" max="6"/>
  </cols>
  <sheetData>
    <row r="1" ht="26" customHeight="1">
      <c r="A1" s="1" t="inlineStr">
        <is>
          <t>OPCJE DODATKOWE — praca poza zakresem podstawowym</t>
        </is>
      </c>
    </row>
    <row r="2">
      <c r="A2" s="21" t="inlineStr">
        <is>
          <t>NIE wliczane do sum głównych. Koszt 'z PM+buf' = wersja doliczona do wariantów V3/V4.</t>
        </is>
      </c>
    </row>
    <row r="4" ht="30" customHeight="1">
      <c r="A4" s="4" t="inlineStr">
        <is>
          <t>Opcja</t>
        </is>
      </c>
      <c r="B4" s="4" t="inlineStr">
        <is>
          <t>Zakres</t>
        </is>
      </c>
      <c r="C4" s="4" t="inlineStr">
        <is>
          <t>Godziny</t>
        </is>
      </c>
      <c r="D4" s="4" t="inlineStr">
        <is>
          <t>Koszt bazowy (PLN)</t>
        </is>
      </c>
      <c r="E4" s="4" t="inlineStr">
        <is>
          <t>Z PM+buf (PLN)</t>
        </is>
      </c>
      <c r="F4" s="4" t="inlineStr">
        <is>
          <t>Uwagi</t>
        </is>
      </c>
    </row>
    <row r="5" ht="42" customHeight="1">
      <c r="A5" s="11" t="inlineStr">
        <is>
          <t>Opcja A</t>
        </is>
      </c>
      <c r="B5" s="34" t="inlineStr">
        <is>
          <t>Połączenie 1:N (1 Pilot → do 4 Monitorów): broadcast, sesje per-urządzenie, pulpit master, testy 4+ urządzeń, bufor multi-peer</t>
        </is>
      </c>
      <c r="C5" s="22" t="n">
        <v>130</v>
      </c>
      <c r="D5" s="26">
        <f>C5*Stawka</f>
        <v/>
      </c>
      <c r="E5" s="65" t="n">
        <v>9750</v>
      </c>
      <c r="F5" s="35" t="inlineStr">
        <is>
          <t>Wymaga dodatkowych iPadów (testy)</t>
        </is>
      </c>
    </row>
    <row r="6" ht="42" customHeight="1">
      <c r="A6" s="36" t="inlineStr">
        <is>
          <t>Opcja B</t>
        </is>
      </c>
      <c r="B6" s="38" t="inlineStr">
        <is>
          <t>Pełny model capture/no-capture w Pacingu (próg wychwycenia mA/rate) zamiast modelu uproszczonego</t>
        </is>
      </c>
      <c r="C6" s="39" t="n">
        <v>24</v>
      </c>
      <c r="D6" s="40">
        <f>C6*Stawka</f>
        <v/>
      </c>
      <c r="E6" s="65" t="n">
        <v>1800</v>
      </c>
      <c r="F6" s="41" t="inlineStr">
        <is>
          <t>Alternatywa dla uproszczonego M9</t>
        </is>
      </c>
    </row>
    <row r="7" ht="42" customHeight="1">
      <c r="A7" s="11" t="inlineStr">
        <is>
          <t>Opcja C</t>
        </is>
      </c>
      <c r="B7" s="34" t="inlineStr">
        <is>
          <t>Port na Android: natywna warstwa P2P (Nearby Connections), testy na sprzęcie, zgodność layoutów</t>
        </is>
      </c>
      <c r="C7" s="22" t="n">
        <v>150</v>
      </c>
      <c r="D7" s="26">
        <f>C7*Stawka</f>
        <v/>
      </c>
      <c r="E7" s="60" t="inlineStr">
        <is>
          <t>~7 500–9 000</t>
        </is>
      </c>
      <c r="F7" s="35" t="inlineStr">
        <is>
          <t>Orientacyjnie 120–180 h (~7 500–9 000 PLN)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50" customWidth="1" min="4" max="4"/>
  </cols>
  <sheetData>
    <row r="1" ht="26" customHeight="1">
      <c r="A1" s="1" t="inlineStr">
        <is>
          <t>KOSZTY STAŁE — sprzęt, konta, dystrybucja</t>
        </is>
      </c>
    </row>
    <row r="2">
      <c r="A2" s="21" t="inlineStr">
        <is>
          <t>Identyczne dla wszystkich wariantów. Mac założono jako posiadany przez klienta.</t>
        </is>
      </c>
    </row>
    <row r="4" ht="20" customHeight="1">
      <c r="A4" s="3" t="inlineStr">
        <is>
          <t>MAC — wymagany do budowania aplikacji iOS</t>
        </is>
      </c>
    </row>
    <row r="5" ht="30" customHeight="1">
      <c r="A5" s="4" t="inlineStr">
        <is>
          <t>Model</t>
        </is>
      </c>
      <c r="B5" s="4" t="inlineStr">
        <is>
          <t>Cena (PLN)</t>
        </is>
      </c>
      <c r="C5" s="4" t="inlineStr">
        <is>
          <t>—</t>
        </is>
      </c>
      <c r="D5" s="4" t="inlineStr">
        <is>
          <t>Uwagi</t>
        </is>
      </c>
    </row>
    <row r="6">
      <c r="A6" s="7" t="inlineStr">
        <is>
          <t>Mac mini M4</t>
        </is>
      </c>
      <c r="B6" s="26" t="n">
        <v>2500</v>
      </c>
      <c r="C6" s="14" t="n"/>
      <c r="D6" s="35" t="inlineStr">
        <is>
          <t>Najtańsza opcja, wymaga monitora/klawiatury</t>
        </is>
      </c>
    </row>
    <row r="7">
      <c r="A7" s="7" t="inlineStr">
        <is>
          <t>MacBook Air M3 13"</t>
        </is>
      </c>
      <c r="B7" s="26" t="n">
        <v>5500</v>
      </c>
      <c r="C7" s="14" t="n"/>
      <c r="D7" s="35" t="inlineStr">
        <is>
          <t>Najpopularniejszy wybór dewelopera</t>
        </is>
      </c>
    </row>
    <row r="8">
      <c r="A8" s="7" t="inlineStr">
        <is>
          <t>MacBook Pro M3 14"</t>
        </is>
      </c>
      <c r="B8" s="26" t="n">
        <v>8500</v>
      </c>
      <c r="C8" s="14" t="n"/>
      <c r="D8" s="35" t="inlineStr">
        <is>
          <t>Nadmiarowy do tego projektu</t>
        </is>
      </c>
    </row>
    <row r="10" ht="20" customHeight="1">
      <c r="A10" s="3" t="inlineStr">
        <is>
          <t>iPADY DO TESTÓW (wymagane tylko do testów P2P)</t>
        </is>
      </c>
    </row>
    <row r="11" ht="30" customHeight="1">
      <c r="A11" s="4" t="inlineStr">
        <is>
          <t>Model iPada</t>
        </is>
      </c>
      <c r="B11" s="4" t="inlineStr">
        <is>
          <t>Cena (PLN/szt.)</t>
        </is>
      </c>
      <c r="C11" s="4" t="inlineStr">
        <is>
          <t>—</t>
        </is>
      </c>
      <c r="D11" s="4" t="inlineStr">
        <is>
          <t>Uwagi</t>
        </is>
      </c>
    </row>
    <row r="12">
      <c r="A12" s="7" t="inlineStr">
        <is>
          <t>iPad 10. generacji</t>
        </is>
      </c>
      <c r="B12" s="26" t="n">
        <v>2200</v>
      </c>
      <c r="C12" s="14" t="n"/>
      <c r="D12" s="35" t="inlineStr">
        <is>
          <t>Minimum do testów</t>
        </is>
      </c>
    </row>
    <row r="13">
      <c r="A13" s="7" t="inlineStr">
        <is>
          <t>iPad Air M2</t>
        </is>
      </c>
      <c r="B13" s="26" t="n">
        <v>3200</v>
      </c>
      <c r="C13" s="14" t="n"/>
      <c r="D13" s="35" t="inlineStr">
        <is>
          <t>Komfortowe urządzenie testowe</t>
        </is>
      </c>
    </row>
    <row r="14">
      <c r="A14" s="7" t="inlineStr">
        <is>
          <t>2× iPad (testy P2P)</t>
        </is>
      </c>
      <c r="B14" s="26" t="n">
        <v>4400</v>
      </c>
      <c r="C14" s="14" t="n"/>
      <c r="D14" s="35" t="inlineStr">
        <is>
          <t>Minimalne — 2× iPad 10. gen</t>
        </is>
      </c>
    </row>
    <row r="16" ht="20" customHeight="1">
      <c r="A16" s="3" t="inlineStr">
        <is>
          <t>APPLE DEVELOPER ACCOUNT / DYSTRYBUCJA</t>
        </is>
      </c>
    </row>
    <row r="17" ht="30" customHeight="1">
      <c r="A17" s="4" t="inlineStr">
        <is>
          <t>Model dystrybucji</t>
        </is>
      </c>
      <c r="B17" s="4" t="inlineStr">
        <is>
          <t>Koszt roczny (PLN)</t>
        </is>
      </c>
      <c r="C17" s="4" t="inlineStr">
        <is>
          <t>—</t>
        </is>
      </c>
      <c r="D17" s="4" t="inlineStr">
        <is>
          <t>Uwagi</t>
        </is>
      </c>
    </row>
    <row r="18">
      <c r="A18" s="7" t="inlineStr">
        <is>
          <t>App Store (publiczny) — Apple Developer Program</t>
        </is>
      </c>
      <c r="B18" s="26" t="n">
        <v>400</v>
      </c>
      <c r="C18" s="14" t="n"/>
      <c r="D18" s="35" t="inlineStr">
        <is>
          <t>99 USD/rok</t>
        </is>
      </c>
    </row>
    <row r="19">
      <c r="A19" s="7" t="inlineStr">
        <is>
          <t>TestFlight — Apple Developer Program</t>
        </is>
      </c>
      <c r="B19" s="26" t="n">
        <v>400</v>
      </c>
      <c r="C19" s="14" t="n"/>
      <c r="D19" s="35" t="inlineStr">
        <is>
          <t>Rekomendowane dla aplikacji okołomedycznej</t>
        </is>
      </c>
    </row>
    <row r="20">
      <c r="A20" s="7" t="inlineStr">
        <is>
          <t>Enterprise — Apple Developer Enterprise Program</t>
        </is>
      </c>
      <c r="B20" s="26" t="n">
        <v>1200</v>
      </c>
      <c r="C20" s="14" t="n"/>
      <c r="D20" s="35" t="inlineStr">
        <is>
          <t>299 USD/rok, dystrybucja wewnętrzna</t>
        </is>
      </c>
    </row>
  </sheetData>
  <mergeCells count="5">
    <mergeCell ref="A1:D1"/>
    <mergeCell ref="A4:D4"/>
    <mergeCell ref="A2:D2"/>
    <mergeCell ref="A16:D16"/>
    <mergeCell ref="A10:D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14" customWidth="1" min="3" max="3"/>
    <col width="14" customWidth="1" min="4" max="4"/>
    <col width="52" customWidth="1" min="5" max="5"/>
  </cols>
  <sheetData>
    <row r="1" ht="26" customHeight="1">
      <c r="A1" s="1" t="inlineStr">
        <is>
          <t>REJESTR RYZYK I ZAGROŻEŃ</t>
        </is>
      </c>
    </row>
    <row r="3" ht="30" customHeight="1">
      <c r="A3" s="4" t="inlineStr">
        <is>
          <t>ID</t>
        </is>
      </c>
      <c r="B3" s="4" t="inlineStr">
        <is>
          <t>Ryzyko</t>
        </is>
      </c>
      <c r="C3" s="4" t="inlineStr">
        <is>
          <t>Prawdopodobieństwo</t>
        </is>
      </c>
      <c r="D3" s="4" t="inlineStr">
        <is>
          <t>Wpływ</t>
        </is>
      </c>
      <c r="E3" s="4" t="inlineStr">
        <is>
          <t>Działanie ograniczające (mitygacja)</t>
        </is>
      </c>
    </row>
    <row r="4" ht="32" customHeight="1">
      <c r="A4" s="11" t="inlineStr">
        <is>
          <t>R1</t>
        </is>
      </c>
      <c r="B4" s="34" t="inlineStr">
        <is>
          <t>Multipeer Connectivity w .NET MAUI wymaga własnego bindingu warstwy natywnej</t>
        </is>
      </c>
      <c r="C4" s="66" t="inlineStr">
        <is>
          <t>Wysokie</t>
        </is>
      </c>
      <c r="D4" s="66" t="inlineStr">
        <is>
          <t>Wysoki</t>
        </is>
      </c>
      <c r="E4" s="34" t="inlineStr">
        <is>
          <t>PoC w M1 jako pierwszy krok; plan B: TCP/UDP lokalnie. Bufor 15%.</t>
        </is>
      </c>
    </row>
    <row r="5" ht="32" customHeight="1">
      <c r="A5" s="11" t="inlineStr">
        <is>
          <t>R2</t>
        </is>
      </c>
      <c r="B5" s="34" t="inlineStr">
        <is>
          <t>Brak doświadczenia z Apple/iOS (Xcode, podpisywanie, provisioning)</t>
        </is>
      </c>
      <c r="C5" s="66" t="inlineStr">
        <is>
          <t>Wysokie</t>
        </is>
      </c>
      <c r="D5" s="67" t="inlineStr">
        <is>
          <t>Średni</t>
        </is>
      </c>
      <c r="E5" s="34" t="inlineStr">
        <is>
          <t>Materiały pomocnicze; TestFlight zamiast App Store ogranicza tarcia.</t>
        </is>
      </c>
    </row>
    <row r="6" ht="32" customHeight="1">
      <c r="A6" s="11" t="inlineStr">
        <is>
          <t>R3</t>
        </is>
      </c>
      <c r="B6" s="34" t="inlineStr">
        <is>
          <t>Wiarygodność wizualna przebiegów EKG/arytmii trudniejsza niż zakładano</t>
        </is>
      </c>
      <c r="C6" s="67" t="inlineStr">
        <is>
          <t>Średnie</t>
        </is>
      </c>
      <c r="D6" s="66" t="inlineStr">
        <is>
          <t>Wysoki</t>
        </is>
      </c>
      <c r="E6" s="34" t="inlineStr">
        <is>
          <t>Najpierw silnik (M2), potem stany (M4); reuse (Wariant C/V4) mocno ogranicza.</t>
        </is>
      </c>
    </row>
    <row r="7" ht="32" customHeight="1">
      <c r="A7" s="11" t="inlineStr">
        <is>
          <t>R4</t>
        </is>
      </c>
      <c r="B7" s="34" t="inlineStr">
        <is>
          <t>Uwagi/odrzucenie Apple (aplikacja „okołomedyczna”)</t>
        </is>
      </c>
      <c r="C7" s="67" t="inlineStr">
        <is>
          <t>Średnie</t>
        </is>
      </c>
      <c r="D7" s="67" t="inlineStr">
        <is>
          <t>Średni</t>
        </is>
      </c>
      <c r="E7" s="34" t="inlineStr">
        <is>
          <t>TestFlight/wewnętrznie; oznaczenie „symulacja edukacyjna, nie wyrób medyczny”.</t>
        </is>
      </c>
    </row>
    <row r="8" ht="32" customHeight="1">
      <c r="A8" s="11" t="inlineStr">
        <is>
          <t>R5</t>
        </is>
      </c>
      <c r="B8" s="34" t="inlineStr">
        <is>
          <t>Stabilność synchronizacji w czasie rzeczywistym (opóźnienia, desync)</t>
        </is>
      </c>
      <c r="C8" s="67" t="inlineStr">
        <is>
          <t>Średnie</t>
        </is>
      </c>
      <c r="D8" s="66" t="inlineStr">
        <is>
          <t>Wysoki</t>
        </is>
      </c>
      <c r="E8" s="34" t="inlineStr">
        <is>
          <t>Prosty, odporny protokół; reconnect; testy na realnym sprzęcie.</t>
        </is>
      </c>
    </row>
    <row r="9" ht="32" customHeight="1">
      <c r="A9" s="11" t="inlineStr">
        <is>
          <t>R6</t>
        </is>
      </c>
      <c r="B9" s="34" t="inlineStr">
        <is>
          <t>Skalowanie 1:N (do 4) — wydajność i stabilność Multipeer</t>
        </is>
      </c>
      <c r="C9" s="67" t="inlineStr">
        <is>
          <t>Średnie</t>
        </is>
      </c>
      <c r="D9" s="67" t="inlineStr">
        <is>
          <t>Średni</t>
        </is>
      </c>
      <c r="E9" s="34" t="inlineStr">
        <is>
          <t>Bufor w Opcji A; testy z 4+ urządzeniami; limit 4 klientów.</t>
        </is>
      </c>
    </row>
    <row r="10" ht="32" customHeight="1">
      <c r="A10" s="11" t="inlineStr">
        <is>
          <t>R7</t>
        </is>
      </c>
      <c r="B10" s="34" t="inlineStr">
        <is>
          <t>Brak fizycznych iPadów = brak realnych testów P2P</t>
        </is>
      </c>
      <c r="C10" s="66" t="inlineStr">
        <is>
          <t>Wysokie</t>
        </is>
      </c>
      <c r="D10" s="66" t="inlineStr">
        <is>
          <t>Wysoki</t>
        </is>
      </c>
      <c r="E10" s="34" t="inlineStr">
        <is>
          <t>Zakup min. 2 iPadów (Koszty stałe) na starcie.</t>
        </is>
      </c>
    </row>
    <row r="11" ht="32" customHeight="1">
      <c r="A11" s="11" t="inlineStr">
        <is>
          <t>R8</t>
        </is>
      </c>
      <c r="B11" s="34" t="inlineStr">
        <is>
          <t>Niedoszacowanie zakresu („pełna wersja, nie MVP”)</t>
        </is>
      </c>
      <c r="C11" s="67" t="inlineStr">
        <is>
          <t>Średnie</t>
        </is>
      </c>
      <c r="D11" s="66" t="inlineStr">
        <is>
          <t>Wysoki</t>
        </is>
      </c>
      <c r="E11" s="34" t="inlineStr">
        <is>
          <t>Kamienie milowe; przyrostowe dostarczanie; rezerwa 15%.</t>
        </is>
      </c>
    </row>
    <row r="12" ht="32" customHeight="1">
      <c r="A12" s="11" t="inlineStr">
        <is>
          <t>R9</t>
        </is>
      </c>
      <c r="B12" s="34" t="inlineStr">
        <is>
          <t>Zależność od jednego programisty</t>
        </is>
      </c>
      <c r="C12" s="67" t="inlineStr">
        <is>
          <t>Średnie</t>
        </is>
      </c>
      <c r="D12" s="66" t="inlineStr">
        <is>
          <t>Wysoki</t>
        </is>
      </c>
      <c r="E12" s="34" t="inlineStr">
        <is>
          <t>Dokumentacja na bieżąco; repo pod kontrolą wersji.</t>
        </is>
      </c>
    </row>
    <row r="13" ht="32" customHeight="1">
      <c r="A13" s="11" t="inlineStr">
        <is>
          <t>R10</t>
        </is>
      </c>
      <c r="B13" s="34" t="inlineStr">
        <is>
          <t>Złożoność audio (AED, metronom, alarmy) na iPadOS</t>
        </is>
      </c>
      <c r="C13" s="68" t="inlineStr">
        <is>
          <t>Niskie</t>
        </is>
      </c>
      <c r="D13" s="68" t="inlineStr">
        <is>
          <t>Niski</t>
        </is>
      </c>
      <c r="E13" s="34" t="inlineStr">
        <is>
          <t>Standardowe API audio; wczesny prototyp.</t>
        </is>
      </c>
    </row>
    <row r="14" ht="32" customHeight="1">
      <c r="A14" s="11" t="inlineStr">
        <is>
          <t>R11</t>
        </is>
      </c>
      <c r="B14" s="34" t="inlineStr">
        <is>
          <t>[Wariant C/V4] Zależność od kodu II Library; zgodność z Apache 2.0</t>
        </is>
      </c>
      <c r="C14" s="67" t="inlineStr">
        <is>
          <t>Średnie</t>
        </is>
      </c>
      <c r="D14" s="67" t="inlineStr">
        <is>
          <t>Średni</t>
        </is>
      </c>
      <c r="E14" s="34" t="inlineStr">
        <is>
          <t>Czas na analizę i port; dołączenie licencji/NOTICE; możliwość fork-a.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2026-06-15T20:48:49Z</dcterms:created>
  <dcterms:modified xsi:type="dcterms:W3CDTF">2026-06-15T20:48:50Z</dcterms:modified>
</cp:coreProperties>
</file>