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ównanie" sheetId="1" state="visible" r:id="rId1"/>
    <sheet name="V4 Zunifikowany" sheetId="2" state="visible" r:id="rId2"/>
    <sheet name="Wykres" sheetId="3" state="visible" r:id="rId3"/>
    <sheet name="Założen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PLN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sz val="10"/>
    </font>
    <font>
      <name val="Arial"/>
      <b val="1"/>
      <sz val="10"/>
    </font>
    <font>
      <name val="Arial"/>
      <i val="1"/>
      <color rgb="002E4057"/>
      <sz val="10"/>
    </font>
    <font>
      <name val="Arial"/>
      <i val="1"/>
      <color rgb="007F7F7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color rgb="000000FF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4D5E8"/>
      </patternFill>
    </fill>
    <fill>
      <patternFill patternType="solid">
        <fgColor rgb="00D6E8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9DB"/>
      </patternFill>
    </fill>
    <fill>
      <patternFill patternType="solid">
        <fgColor rgb="00FFFFFF"/>
      </patternFill>
    </fill>
    <fill>
      <patternFill patternType="solid">
        <fgColor rgb="00E2EEF7"/>
      </patternFill>
    </fill>
    <fill>
      <patternFill patternType="solid">
        <fgColor rgb="00375623"/>
      </patternFill>
    </fill>
    <fill>
      <patternFill patternType="solid">
        <fgColor rgb="00EBF3E8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EBF5FB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indent="1"/>
    </xf>
    <xf numFmtId="3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indent="1"/>
    </xf>
    <xf numFmtId="3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indent="1"/>
    </xf>
    <xf numFmtId="3" fontId="5" fillId="10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3" fontId="5" fillId="14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/>
    </xf>
    <xf numFmtId="164" fontId="5" fillId="14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3" fontId="10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164" fontId="4" fillId="15" borderId="1" applyAlignment="1" pivotButton="0" quotePrefix="0" xfId="0">
      <alignment horizontal="right" vertical="center"/>
    </xf>
    <xf numFmtId="0" fontId="9" fillId="16" borderId="1" applyAlignment="1" pivotButton="0" quotePrefix="0" xfId="0">
      <alignment horizontal="left" vertical="center" wrapText="1"/>
    </xf>
    <xf numFmtId="3" fontId="5" fillId="16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left" vertical="center"/>
    </xf>
    <xf numFmtId="164" fontId="5" fillId="16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3" fontId="11" fillId="17" borderId="1" applyAlignment="1" pivotButton="0" quotePrefix="0" xfId="0">
      <alignment horizontal="right" vertical="center"/>
    </xf>
    <xf numFmtId="0" fontId="11" fillId="17" borderId="1" applyAlignment="1" pivotButton="0" quotePrefix="0" xfId="0">
      <alignment horizontal="left" vertical="center"/>
    </xf>
    <xf numFmtId="164" fontId="11" fillId="17" borderId="1" applyAlignment="1" pivotButton="0" quotePrefix="0" xfId="0">
      <alignment horizontal="right" vertical="center"/>
    </xf>
    <xf numFmtId="0" fontId="9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  <xf numFmtId="3" fontId="4" fillId="19" borderId="1" applyAlignment="1" pivotButton="0" quotePrefix="0" xfId="0">
      <alignment horizontal="right" vertical="center"/>
    </xf>
    <xf numFmtId="0" fontId="8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/>
    </xf>
    <xf numFmtId="9" fontId="12" fillId="20" borderId="1" applyAlignment="1" pivotButton="0" quotePrefix="0" xfId="0">
      <alignment horizontal="right"/>
    </xf>
    <xf numFmtId="0" fontId="8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 wrapText="1"/>
    </xf>
    <xf numFmtId="9" fontId="12" fillId="19" borderId="1" applyAlignment="1" pivotButton="0" quotePrefix="0" xfId="0">
      <alignment horizontal="right"/>
    </xf>
    <xf numFmtId="3" fontId="4" fillId="20" borderId="1" applyAlignment="1" pivotButton="0" quotePrefix="0" xfId="0">
      <alignment horizontal="right" vertical="center"/>
    </xf>
    <xf numFmtId="0" fontId="12" fillId="19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Porównanie kosztów — wszystkie warianty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'Wykres'!B1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'Wykres'!$A$2:$A$8</f>
            </numRef>
          </cat>
          <val>
            <numRef>
              <f>'Wykres'!$B$2:$B$8</f>
            </numRef>
          </val>
        </ser>
        <ser>
          <idx val="1"/>
          <order val="1"/>
          <tx>
            <strRef>
              <f>'Wykres'!C1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'Wykres'!$A$2:$A$8</f>
            </numRef>
          </cat>
          <val>
            <numRef>
              <f>'Wykres'!$C$2:$C$8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" t="inlineStr">
        <is>
          <t>PORÓWNANIE WYCEN — Aplikacja „Kielich" (symulator monitora pacjenta, iPad, .NET MAUI)</t>
        </is>
      </c>
    </row>
    <row r="2" ht="45" customHeight="1">
      <c r="A2" s="2" t="inlineStr">
        <is>
          <t>Pozycja</t>
        </is>
      </c>
      <c r="B2" s="3" t="inlineStr">
        <is>
          <t>V1
(reuse, brak
PM/buf)</t>
        </is>
      </c>
      <c r="C2" s="3" t="inlineStr">
        <is>
          <t>V2-A
(własny, prosty
brak PM/buf)</t>
        </is>
      </c>
      <c r="D2" s="3" t="inlineStr">
        <is>
          <t>V2-D
(własny, pełny
brak PM/buf)</t>
        </is>
      </c>
      <c r="E2" s="4" t="inlineStr">
        <is>
          <t>V3-A
(własny
+PM+buf)</t>
        </is>
      </c>
      <c r="F2" s="4" t="inlineStr">
        <is>
          <t>V3-B
(własny+1:N
+PM+buf)</t>
        </is>
      </c>
      <c r="G2" s="4" t="inlineStr">
        <is>
          <t>V3-C
(reuse
+PM+buf)</t>
        </is>
      </c>
      <c r="H2" s="5" t="inlineStr">
        <is>
          <t>V4 — ZUNIFIKOWANY
(reuse+PM+buf
+sprzęt)</t>
        </is>
      </c>
    </row>
    <row r="3">
      <c r="A3" s="6" t="inlineStr">
        <is>
          <t>Godziny modułów (development)</t>
        </is>
      </c>
      <c r="B3" s="7" t="n">
        <v>312</v>
      </c>
      <c r="C3" s="7" t="n">
        <v>402</v>
      </c>
      <c r="D3" s="7" t="n">
        <v>488</v>
      </c>
      <c r="E3" s="7" t="n">
        <v>936</v>
      </c>
      <c r="F3" s="7" t="n">
        <v>1066</v>
      </c>
      <c r="G3" s="7" t="n">
        <v>824</v>
      </c>
      <c r="H3" s="8" t="n">
        <v>824</v>
      </c>
    </row>
    <row r="4">
      <c r="A4" s="9" t="inlineStr">
        <is>
          <t>Zarządzanie projektem +5%</t>
        </is>
      </c>
      <c r="B4" s="10" t="n">
        <v>0</v>
      </c>
      <c r="C4" s="10" t="n">
        <v>0</v>
      </c>
      <c r="D4" s="10" t="n">
        <v>0</v>
      </c>
      <c r="E4" s="10" t="n">
        <v>47</v>
      </c>
      <c r="F4" s="10" t="n">
        <v>53</v>
      </c>
      <c r="G4" s="10" t="n">
        <v>41</v>
      </c>
      <c r="H4" s="8" t="n">
        <v>41</v>
      </c>
    </row>
    <row r="5">
      <c r="A5" s="6" t="inlineStr">
        <is>
          <t>Bufor ryzyka +15%</t>
        </is>
      </c>
      <c r="B5" s="7" t="n">
        <v>0</v>
      </c>
      <c r="C5" s="7" t="n">
        <v>0</v>
      </c>
      <c r="D5" s="7" t="n">
        <v>0</v>
      </c>
      <c r="E5" s="7" t="n">
        <v>140</v>
      </c>
      <c r="F5" s="7" t="n">
        <v>160</v>
      </c>
      <c r="G5" s="7" t="n">
        <v>124</v>
      </c>
      <c r="H5" s="8" t="n">
        <v>124</v>
      </c>
    </row>
    <row r="6">
      <c r="A6" s="11" t="inlineStr">
        <is>
          <t>RAZEM godziny</t>
        </is>
      </c>
      <c r="B6" s="12" t="n">
        <v>312</v>
      </c>
      <c r="C6" s="12" t="n">
        <v>402</v>
      </c>
      <c r="D6" s="12" t="n">
        <v>488</v>
      </c>
      <c r="E6" s="12" t="n">
        <v>1123</v>
      </c>
      <c r="F6" s="12" t="n">
        <v>1279</v>
      </c>
      <c r="G6" s="12" t="n">
        <v>989</v>
      </c>
      <c r="H6" s="13" t="n">
        <v>989</v>
      </c>
    </row>
    <row r="7">
      <c r="A7" s="11" t="inlineStr">
        <is>
          <t>Koszt robocizny (PLN)</t>
        </is>
      </c>
      <c r="B7" s="14" t="n">
        <v>15600</v>
      </c>
      <c r="C7" s="14" t="n">
        <v>20100</v>
      </c>
      <c r="D7" s="14" t="n">
        <v>24400</v>
      </c>
      <c r="E7" s="14" t="n">
        <v>56150</v>
      </c>
      <c r="F7" s="14" t="n">
        <v>63950</v>
      </c>
      <c r="G7" s="14" t="n">
        <v>49450</v>
      </c>
      <c r="H7" s="15" t="n">
        <v>49450</v>
      </c>
    </row>
    <row r="8">
      <c r="A8" s="9" t="inlineStr">
        <is>
          <t>Koszty stałe (sprzęt, Apple)</t>
        </is>
      </c>
      <c r="B8" s="16" t="n">
        <v>7300</v>
      </c>
      <c r="C8" s="17" t="inlineStr">
        <is>
          <t>—</t>
        </is>
      </c>
      <c r="D8" s="17" t="inlineStr">
        <is>
          <t>—</t>
        </is>
      </c>
      <c r="E8" s="16" t="n">
        <v>5701</v>
      </c>
      <c r="F8" s="16" t="n">
        <v>5701</v>
      </c>
      <c r="G8" s="16" t="n">
        <v>5701</v>
      </c>
      <c r="H8" s="18" t="n">
        <v>5701</v>
      </c>
    </row>
    <row r="9">
      <c r="A9" s="11" t="inlineStr">
        <is>
          <t>SUMA CAŁKOWITA</t>
        </is>
      </c>
      <c r="B9" s="14" t="n">
        <v>22900</v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15" t="n">
        <v>55151</v>
      </c>
    </row>
    <row r="10">
      <c r="A10" s="9" t="inlineStr">
        <is>
          <t>— z czego reuse II Library</t>
        </is>
      </c>
      <c r="B10" s="17" t="inlineStr">
        <is>
          <t>tak</t>
        </is>
      </c>
      <c r="C10" s="17" t="inlineStr">
        <is>
          <t>nie</t>
        </is>
      </c>
      <c r="D10" s="17" t="inlineStr">
        <is>
          <t>nie</t>
        </is>
      </c>
      <c r="E10" s="17" t="inlineStr">
        <is>
          <t>nie</t>
        </is>
      </c>
      <c r="F10" s="17" t="inlineStr">
        <is>
          <t>nie</t>
        </is>
      </c>
      <c r="G10" s="17" t="inlineStr">
        <is>
          <t>tak</t>
        </is>
      </c>
      <c r="H10" s="20" t="inlineStr">
        <is>
          <t>tak</t>
        </is>
      </c>
    </row>
    <row r="11">
      <c r="A11" s="6" t="inlineStr">
        <is>
          <t>— z czego PM (5%)</t>
        </is>
      </c>
      <c r="B11" s="21" t="inlineStr">
        <is>
          <t>nie</t>
        </is>
      </c>
      <c r="C11" s="21" t="inlineStr">
        <is>
          <t>nie</t>
        </is>
      </c>
      <c r="D11" s="21" t="inlineStr">
        <is>
          <t>nie</t>
        </is>
      </c>
      <c r="E11" s="21" t="inlineStr">
        <is>
          <t>tak</t>
        </is>
      </c>
      <c r="F11" s="21" t="inlineStr">
        <is>
          <t>tak</t>
        </is>
      </c>
      <c r="G11" s="21" t="inlineStr">
        <is>
          <t>tak</t>
        </is>
      </c>
      <c r="H11" s="20" t="inlineStr">
        <is>
          <t>tak</t>
        </is>
      </c>
    </row>
    <row r="12">
      <c r="A12" s="9" t="inlineStr">
        <is>
          <t>— z czego bufor (15%)</t>
        </is>
      </c>
      <c r="B12" s="17" t="inlineStr">
        <is>
          <t>nie</t>
        </is>
      </c>
      <c r="C12" s="17" t="inlineStr">
        <is>
          <t>nie</t>
        </is>
      </c>
      <c r="D12" s="17" t="inlineStr">
        <is>
          <t>nie</t>
        </is>
      </c>
      <c r="E12" s="17" t="inlineStr">
        <is>
          <t>tak</t>
        </is>
      </c>
      <c r="F12" s="17" t="inlineStr">
        <is>
          <t>tak</t>
        </is>
      </c>
      <c r="G12" s="17" t="inlineStr">
        <is>
          <t>tak</t>
        </is>
      </c>
      <c r="H12" s="20" t="inlineStr">
        <is>
          <t>tak</t>
        </is>
      </c>
    </row>
    <row r="13">
      <c r="A13" s="6" t="inlineStr">
        <is>
          <t>— opcja 1:N (do 4 monitorów)</t>
        </is>
      </c>
      <c r="B13" s="21" t="inlineStr">
        <is>
          <t>delta +16h</t>
        </is>
      </c>
      <c r="C13" s="21" t="inlineStr">
        <is>
          <t>delta +20h</t>
        </is>
      </c>
      <c r="D13" s="21" t="inlineStr">
        <is>
          <t>delta +35h</t>
        </is>
      </c>
      <c r="E13" s="21" t="inlineStr">
        <is>
          <t>Wariant B</t>
        </is>
      </c>
      <c r="F13" s="21" t="inlineStr">
        <is>
          <t>wliczone</t>
        </is>
      </c>
      <c r="G13" s="21" t="inlineStr">
        <is>
          <t>osobna opcja A</t>
        </is>
      </c>
      <c r="H13" s="20" t="inlineStr">
        <is>
          <t>osobna opcja A</t>
        </is>
      </c>
    </row>
    <row r="14">
      <c r="A14" s="9" t="inlineStr">
        <is>
          <t>Android (port)</t>
        </is>
      </c>
      <c r="B14" s="17" t="inlineStr">
        <is>
          <t>+2000</t>
        </is>
      </c>
      <c r="C14" s="17" t="inlineStr">
        <is>
          <t>brak</t>
        </is>
      </c>
      <c r="D14" s="17" t="inlineStr">
        <is>
          <t>brak</t>
        </is>
      </c>
      <c r="E14" s="17" t="inlineStr">
        <is>
          <t>~6000</t>
        </is>
      </c>
      <c r="F14" s="17" t="inlineStr">
        <is>
          <t>~6000</t>
        </is>
      </c>
      <c r="G14" s="17" t="inlineStr">
        <is>
          <t>~5500</t>
        </is>
      </c>
      <c r="H14" s="20" t="inlineStr">
        <is>
          <t>~5500</t>
        </is>
      </c>
    </row>
    <row r="17" ht="28" customHeight="1">
      <c r="A17" s="22" t="inlineStr">
        <is>
          <t>✦ V4 ZUNIFIKOWANY łączy: szczegółowy zakres V3 + oszczędność reuse V1 + PM i bufor + koszty sprzętowe. Rekomendowany jako pełna, realistyczna oferta.</t>
        </is>
      </c>
    </row>
    <row r="18" ht="28" customHeight="1">
      <c r="A18" s="23" t="inlineStr">
        <is>
          <t>★ Opcja 1:N (1 Pilot → do 4 Monitorów) = delta +130h / +9 750 PLN do każdego wariantu z PM+buf. Opcja B (pełny pacing) = +24h / +1 800 PLN. Port Android = orientacyjnie +120-180h.</t>
        </is>
      </c>
    </row>
  </sheetData>
  <mergeCells count="3">
    <mergeCell ref="A1:I1"/>
    <mergeCell ref="A17:I17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8" customWidth="1" min="5" max="5"/>
    <col width="38" customWidth="1" min="6" max="6"/>
  </cols>
  <sheetData>
    <row r="1" ht="22" customHeight="1">
      <c r="A1" s="24" t="inlineStr">
        <is>
          <t>V4 — WYCENA ZUNIFIKOWANA: reuse II Library + PM 5% + bufor 15% + koszty stałe</t>
        </is>
      </c>
    </row>
    <row r="2" ht="30" customHeight="1">
      <c r="A2" s="25" t="inlineStr">
        <is>
          <t>Kamień milowy / moduł</t>
        </is>
      </c>
      <c r="B2" s="25" t="inlineStr">
        <is>
          <t>Godz. własny kod (A)</t>
        </is>
      </c>
      <c r="C2" s="25" t="inlineStr">
        <is>
          <t>Korekta reuse</t>
        </is>
      </c>
      <c r="D2" s="25" t="inlineStr">
        <is>
          <t>Godz. V4</t>
        </is>
      </c>
      <c r="E2" s="25" t="inlineStr">
        <is>
          <t>Koszt V4 (PLN)</t>
        </is>
      </c>
      <c r="F2" s="25" t="inlineStr">
        <is>
          <t>Uwaga</t>
        </is>
      </c>
    </row>
    <row r="3">
      <c r="A3" s="26" t="inlineStr">
        <is>
          <t>M1 — P2P i architektura</t>
        </is>
      </c>
      <c r="B3" s="10" t="n">
        <v>104</v>
      </c>
      <c r="C3" s="10" t="n"/>
      <c r="D3" s="10" t="n">
        <v>104</v>
      </c>
      <c r="E3" s="16" t="n">
        <v>5200</v>
      </c>
      <c r="F3" s="26" t="inlineStr">
        <is>
          <t>Własna warstwa Multipeer; największe ryzyko techniczne</t>
        </is>
      </c>
    </row>
    <row r="4">
      <c r="A4" s="27" t="inlineStr">
        <is>
          <t>M2 — Widok Monitora (przebiegi)</t>
        </is>
      </c>
      <c r="B4" s="28" t="n">
        <v>120</v>
      </c>
      <c r="C4" s="28" t="n">
        <v>-40</v>
      </c>
      <c r="D4" s="28" t="n">
        <v>80</v>
      </c>
      <c r="E4" s="29" t="n">
        <v>4000</v>
      </c>
      <c r="F4" s="27" t="inlineStr">
        <is>
          <t>Reuse silnika fal z II Library; integracja SkiaSharp/MAUI</t>
        </is>
      </c>
    </row>
    <row r="5">
      <c r="A5" s="26" t="inlineStr">
        <is>
          <t>M3 — Pilot: pulpit instruktora</t>
        </is>
      </c>
      <c r="B5" s="10" t="n">
        <v>76</v>
      </c>
      <c r="C5" s="10" t="n"/>
      <c r="D5" s="10" t="n">
        <v>76</v>
      </c>
      <c r="E5" s="16" t="n">
        <v>3800</v>
      </c>
      <c r="F5" s="26" t="inlineStr"/>
    </row>
    <row r="6">
      <c r="A6" s="27" t="inlineStr">
        <is>
          <t>M4 — Arytmie i zakłócenia</t>
        </is>
      </c>
      <c r="B6" s="28" t="n">
        <v>130</v>
      </c>
      <c r="C6" s="28" t="n">
        <v>-60</v>
      </c>
      <c r="D6" s="28" t="n">
        <v>70</v>
      </c>
      <c r="E6" s="29" t="n">
        <v>3500</v>
      </c>
      <c r="F6" s="27" t="inlineStr">
        <is>
          <t>Reuse 30+ rytmów; weryfikacja wizualna i dopasowanie MAUI</t>
        </is>
      </c>
    </row>
    <row r="7">
      <c r="A7" s="26" t="inlineStr">
        <is>
          <t>M5 — System scenariuszy</t>
        </is>
      </c>
      <c r="B7" s="10" t="n">
        <v>102</v>
      </c>
      <c r="C7" s="10" t="n">
        <v>-20</v>
      </c>
      <c r="D7" s="10" t="n">
        <v>82</v>
      </c>
      <c r="E7" s="16" t="n">
        <v>4100</v>
      </c>
      <c r="F7" s="26" t="inlineStr">
        <is>
          <t>Reuse modelu danych; własny edytor CRUD</t>
        </is>
      </c>
    </row>
    <row r="8">
      <c r="A8" s="27" t="inlineStr">
        <is>
          <t>M6 — Tryb Defib</t>
        </is>
      </c>
      <c r="B8" s="28" t="n">
        <v>74</v>
      </c>
      <c r="C8" s="28" t="n">
        <v>-10</v>
      </c>
      <c r="D8" s="28" t="n">
        <v>64</v>
      </c>
      <c r="E8" s="29" t="n">
        <v>3200</v>
      </c>
      <c r="F8" s="27" t="inlineStr">
        <is>
          <t>Reuse logiki defibrylacji</t>
        </is>
      </c>
    </row>
    <row r="9">
      <c r="A9" s="26" t="inlineStr">
        <is>
          <t>M7 — Tryb AED</t>
        </is>
      </c>
      <c r="B9" s="10" t="n">
        <v>54</v>
      </c>
      <c r="C9" s="10" t="n">
        <v>-8</v>
      </c>
      <c r="D9" s="10" t="n">
        <v>46</v>
      </c>
      <c r="E9" s="16" t="n">
        <v>2300</v>
      </c>
      <c r="F9" s="26" t="inlineStr">
        <is>
          <t>Reuse logiki AED</t>
        </is>
      </c>
    </row>
    <row r="10">
      <c r="A10" s="27" t="inlineStr">
        <is>
          <t>M8 — Kardiowersja zsynchronizowana</t>
        </is>
      </c>
      <c r="B10" s="28" t="n">
        <v>44</v>
      </c>
      <c r="C10" s="28" t="n">
        <v>-8</v>
      </c>
      <c r="D10" s="28" t="n">
        <v>36</v>
      </c>
      <c r="E10" s="29" t="n">
        <v>1800</v>
      </c>
      <c r="F10" s="27" t="inlineStr">
        <is>
          <t>Reuse logiki kardiowersji</t>
        </is>
      </c>
    </row>
    <row r="11">
      <c r="A11" s="26" t="inlineStr">
        <is>
          <t>M9 — Stymulacja (pacing)</t>
        </is>
      </c>
      <c r="B11" s="10" t="n">
        <v>52</v>
      </c>
      <c r="C11" s="10" t="n">
        <v>-10</v>
      </c>
      <c r="D11" s="10" t="n">
        <v>42</v>
      </c>
      <c r="E11" s="16" t="n">
        <v>2100</v>
      </c>
      <c r="F11" s="26" t="inlineStr">
        <is>
          <t>Reuse logiki pacingu; model uproszczony</t>
        </is>
      </c>
    </row>
    <row r="12">
      <c r="A12" s="27" t="inlineStr">
        <is>
          <t>M10 — Logika wyładowań</t>
        </is>
      </c>
      <c r="B12" s="28" t="n">
        <v>52</v>
      </c>
      <c r="C12" s="28" t="n"/>
      <c r="D12" s="28" t="n">
        <v>52</v>
      </c>
      <c r="E12" s="29" t="n">
        <v>2600</v>
      </c>
      <c r="F12" s="27" t="inlineStr">
        <is>
          <t>Własny silnik reguł</t>
        </is>
      </c>
    </row>
    <row r="13">
      <c r="A13" s="26" t="inlineStr">
        <is>
          <t>M11 — Ustawienia i audio</t>
        </is>
      </c>
      <c r="B13" s="10" t="n">
        <v>40</v>
      </c>
      <c r="C13" s="10" t="n"/>
      <c r="D13" s="10" t="n">
        <v>40</v>
      </c>
      <c r="E13" s="16" t="n">
        <v>2000</v>
      </c>
      <c r="F13" s="26" t="inlineStr"/>
    </row>
    <row r="14">
      <c r="A14" s="27" t="inlineStr">
        <is>
          <t>M12 — Testy i dystrybucja</t>
        </is>
      </c>
      <c r="B14" s="28" t="n">
        <v>88</v>
      </c>
      <c r="C14" s="28" t="n"/>
      <c r="D14" s="28" t="n">
        <v>88</v>
      </c>
      <c r="E14" s="29" t="n">
        <v>4400</v>
      </c>
      <c r="F14" s="27" t="inlineStr">
        <is>
          <t>Testy P2P na fizycznych iPadach; TestFlight</t>
        </is>
      </c>
    </row>
    <row r="15">
      <c r="A15" s="26" t="inlineStr">
        <is>
          <t>Port II Library → MAUI</t>
        </is>
      </c>
      <c r="B15" s="10" t="n"/>
      <c r="C15" s="10" t="n">
        <v>40</v>
      </c>
      <c r="D15" s="10" t="n">
        <v>40</v>
      </c>
      <c r="E15" s="16" t="n">
        <v>2000</v>
      </c>
      <c r="F15" s="26" t="inlineStr">
        <is>
          <t>Usunięcie zależności desktopowych, refaktor</t>
        </is>
      </c>
    </row>
    <row r="16">
      <c r="A16" s="27" t="inlineStr">
        <is>
          <t>Obsługa licencji Apache 2.0</t>
        </is>
      </c>
      <c r="B16" s="28" t="n"/>
      <c r="C16" s="28" t="n">
        <v>4</v>
      </c>
      <c r="D16" s="28" t="n">
        <v>4</v>
      </c>
      <c r="E16" s="29" t="n">
        <v>200</v>
      </c>
      <c r="F16" s="27" t="inlineStr">
        <is>
          <t>Atrybucja, plik NOTICE, zgodność</t>
        </is>
      </c>
    </row>
    <row r="17">
      <c r="A17" s="30" t="inlineStr">
        <is>
          <t>SUMA modułów</t>
        </is>
      </c>
      <c r="B17" s="31" t="n">
        <v>936</v>
      </c>
      <c r="C17" s="32" t="inlineStr"/>
      <c r="D17" s="31" t="n">
        <v>824</v>
      </c>
      <c r="E17" s="33" t="n">
        <v>41200</v>
      </c>
      <c r="F17" s="34" t="inlineStr"/>
    </row>
    <row r="18">
      <c r="A18" s="35" t="inlineStr">
        <is>
          <t>Zarządzanie projektem (5%)</t>
        </is>
      </c>
      <c r="B18" s="36" t="inlineStr"/>
      <c r="C18" s="37" t="inlineStr"/>
      <c r="D18" s="36" t="n">
        <v>41</v>
      </c>
      <c r="E18" s="38" t="n">
        <v>2050</v>
      </c>
      <c r="F18" s="39" t="inlineStr">
        <is>
          <t>5% × 824h = 41h</t>
        </is>
      </c>
    </row>
    <row r="19">
      <c r="A19" s="35" t="inlineStr">
        <is>
          <t>Bufor ryzyka (15%)</t>
        </is>
      </c>
      <c r="B19" s="36" t="inlineStr"/>
      <c r="C19" s="37" t="inlineStr"/>
      <c r="D19" s="36" t="n">
        <v>124</v>
      </c>
      <c r="E19" s="38" t="n">
        <v>6200</v>
      </c>
      <c r="F19" s="39" t="inlineStr">
        <is>
          <t>15% × 824h = 124h</t>
        </is>
      </c>
    </row>
    <row r="20">
      <c r="A20" s="40" t="inlineStr">
        <is>
          <t>RAZEM GODZINY</t>
        </is>
      </c>
      <c r="B20" s="41" t="n">
        <v>936</v>
      </c>
      <c r="C20" s="42" t="inlineStr"/>
      <c r="D20" s="41" t="n">
        <v>989</v>
      </c>
      <c r="E20" s="43" t="n">
        <v>49450</v>
      </c>
      <c r="F20" s="40" t="inlineStr"/>
    </row>
    <row r="21">
      <c r="A21" s="44" t="n"/>
      <c r="B21" s="44" t="n"/>
      <c r="C21" s="44" t="n"/>
      <c r="D21" s="44" t="n"/>
      <c r="E21" s="44" t="n"/>
      <c r="F21" s="44" t="n"/>
    </row>
    <row r="22">
      <c r="A22" s="45" t="inlineStr">
        <is>
          <t>KOSZTY STAŁE</t>
        </is>
      </c>
      <c r="B22" s="44" t="n"/>
      <c r="C22" s="44" t="n"/>
      <c r="D22" s="45" t="inlineStr">
        <is>
          <t>Ilość</t>
        </is>
      </c>
      <c r="E22" s="45" t="inlineStr">
        <is>
          <t>Koszt (PLN)</t>
        </is>
      </c>
      <c r="F22" s="45" t="inlineStr">
        <is>
          <t>Uwaga</t>
        </is>
      </c>
    </row>
    <row r="23">
      <c r="A23" s="26" t="inlineStr">
        <is>
          <t>Mac mini M4 (klient posiada)</t>
        </is>
      </c>
      <c r="B23" s="44" t="n"/>
      <c r="C23" s="44" t="n"/>
      <c r="D23" s="44" t="n"/>
      <c r="E23" s="16" t="n">
        <v>0</v>
      </c>
      <c r="F23" s="44" t="n"/>
    </row>
    <row r="24">
      <c r="A24" s="46" t="inlineStr">
        <is>
          <t>Apple Developer Program (99 USD/rok × 4,05)</t>
        </is>
      </c>
      <c r="B24" s="44" t="n"/>
      <c r="C24" s="44" t="n"/>
      <c r="D24" s="44" t="n"/>
      <c r="E24" s="47" t="n">
        <v>401</v>
      </c>
      <c r="F24" s="44" t="n"/>
    </row>
    <row r="25">
      <c r="A25" s="26" t="inlineStr">
        <is>
          <t>2 × iPad 10. gen (do testów P2P)</t>
        </is>
      </c>
      <c r="B25" s="44" t="n"/>
      <c r="C25" s="44" t="n"/>
      <c r="D25" s="44" t="n"/>
      <c r="E25" s="16" t="n">
        <v>5000</v>
      </c>
      <c r="F25" s="44" t="n"/>
    </row>
    <row r="26">
      <c r="A26" s="46" t="inlineStr">
        <is>
          <t>Akcesoria (etui, kable, ładowarki)</t>
        </is>
      </c>
      <c r="B26" s="44" t="n"/>
      <c r="C26" s="44" t="n"/>
      <c r="D26" s="44" t="n"/>
      <c r="E26" s="47" t="n">
        <v>300</v>
      </c>
      <c r="F26" s="44" t="n"/>
    </row>
    <row r="27">
      <c r="A27" s="48" t="inlineStr">
        <is>
          <t>RAZEM koszty stałe</t>
        </is>
      </c>
      <c r="B27" s="49" t="inlineStr"/>
      <c r="C27" s="50" t="inlineStr"/>
      <c r="D27" s="49" t="inlineStr"/>
      <c r="E27" s="51" t="n">
        <v>5701</v>
      </c>
      <c r="F27" s="52" t="inlineStr"/>
    </row>
    <row r="28">
      <c r="A28" s="53" t="inlineStr">
        <is>
          <t>★ SUMA CAŁKOWITA (robocizna + sprzęt)</t>
        </is>
      </c>
      <c r="B28" s="54" t="inlineStr"/>
      <c r="C28" s="55" t="inlineStr"/>
      <c r="D28" s="54" t="inlineStr"/>
      <c r="E28" s="56" t="n">
        <v>55151</v>
      </c>
      <c r="F28" s="53" t="inlineStr"/>
    </row>
    <row r="29">
      <c r="A29" s="44" t="n"/>
      <c r="B29" s="44" t="n"/>
      <c r="C29" s="44" t="n"/>
      <c r="D29" s="44" t="n"/>
      <c r="E29" s="44" t="n"/>
      <c r="F29" s="44" t="n"/>
    </row>
    <row r="30">
      <c r="A30" s="57" t="inlineStr">
        <is>
          <t>OPCJE DODATKOWE (poza zakresem V4)</t>
        </is>
      </c>
      <c r="B30" s="44" t="n"/>
      <c r="C30" s="44" t="n"/>
      <c r="D30" s="58" t="inlineStr">
        <is>
          <t>Godz.</t>
        </is>
      </c>
      <c r="E30" s="58" t="inlineStr">
        <is>
          <t>Koszt (PLN)</t>
        </is>
      </c>
      <c r="F30" s="44" t="n"/>
    </row>
    <row r="31">
      <c r="A31" s="59" t="inlineStr">
        <is>
          <t>Opcja A — Połączenie 1:N (1 Pilot → do 4 Monitorów)</t>
        </is>
      </c>
      <c r="B31" s="44" t="n"/>
      <c r="C31" s="44" t="n"/>
      <c r="D31" s="60" t="n">
        <v>130</v>
      </c>
      <c r="E31" s="61" t="n">
        <v>7800</v>
      </c>
      <c r="F31" s="59" t="inlineStr">
        <is>
          <t>+9 750 PLN z PM+buf</t>
        </is>
      </c>
    </row>
    <row r="32">
      <c r="A32" s="59" t="inlineStr">
        <is>
          <t>Opcja B — Pełny model capture/no-capture w Pacingu</t>
        </is>
      </c>
      <c r="B32" s="44" t="n"/>
      <c r="C32" s="44" t="n"/>
      <c r="D32" s="60" t="n">
        <v>24</v>
      </c>
      <c r="E32" s="61" t="n">
        <v>1440</v>
      </c>
      <c r="F32" s="59" t="inlineStr">
        <is>
          <t>+1 800 PLN z PM+buf</t>
        </is>
      </c>
    </row>
    <row r="33">
      <c r="A33" s="59" t="inlineStr">
        <is>
          <t>Opcja C — Port na Android (orientacyjnie)</t>
        </is>
      </c>
      <c r="B33" s="44" t="n"/>
      <c r="C33" s="44" t="n"/>
      <c r="D33" s="60" t="n">
        <v>150</v>
      </c>
      <c r="E33" s="61" t="n">
        <v>9000</v>
      </c>
      <c r="F33" s="59" t="inlineStr">
        <is>
          <t>~7 500–9 000 PLN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Wariant</t>
        </is>
      </c>
      <c r="B1" t="inlineStr">
        <is>
          <t>Robocizna (PLN)</t>
        </is>
      </c>
      <c r="C1" t="inlineStr">
        <is>
          <t>Koszty stałe (PLN)</t>
        </is>
      </c>
    </row>
    <row r="2">
      <c r="A2" t="inlineStr">
        <is>
          <t>V1
(reuse)</t>
        </is>
      </c>
      <c r="B2" t="n">
        <v>15600</v>
      </c>
      <c r="C2" t="n">
        <v>7300</v>
      </c>
    </row>
    <row r="3">
      <c r="A3" t="inlineStr">
        <is>
          <t>V2-A
(własny prosty)</t>
        </is>
      </c>
      <c r="B3" t="n">
        <v>20100</v>
      </c>
      <c r="C3" t="n">
        <v>0</v>
      </c>
    </row>
    <row r="4">
      <c r="A4" t="inlineStr">
        <is>
          <t>V2-D
(własny pełny)</t>
        </is>
      </c>
      <c r="B4" t="n">
        <v>24400</v>
      </c>
      <c r="C4" t="n">
        <v>0</v>
      </c>
    </row>
    <row r="5">
      <c r="A5" t="inlineStr">
        <is>
          <t>V3-A
(własny+PM+buf)</t>
        </is>
      </c>
      <c r="B5" t="n">
        <v>56150</v>
      </c>
      <c r="C5" t="n">
        <v>5701</v>
      </c>
    </row>
    <row r="6">
      <c r="A6" t="inlineStr">
        <is>
          <t>V3-B
(1:N+PM+buf)</t>
        </is>
      </c>
      <c r="B6" t="n">
        <v>63950</v>
      </c>
      <c r="C6" t="n">
        <v>5701</v>
      </c>
    </row>
    <row r="7">
      <c r="A7" t="inlineStr">
        <is>
          <t>V3-C
(reuse+PM+buf)</t>
        </is>
      </c>
      <c r="B7" t="n">
        <v>49450</v>
      </c>
      <c r="C7" t="n">
        <v>5701</v>
      </c>
    </row>
    <row r="8">
      <c r="A8" t="inlineStr">
        <is>
          <t>V4
Zunifikowany</t>
        </is>
      </c>
      <c r="B8" t="n">
        <v>49450</v>
      </c>
      <c r="C8" t="n">
        <v>5701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58" customWidth="1" min="4" max="4"/>
  </cols>
  <sheetData>
    <row r="1">
      <c r="A1" s="62" t="inlineStr">
        <is>
          <t>ZAŁOŻENIA I PARAMETRY WYCENY</t>
        </is>
      </c>
      <c r="B1" s="44" t="n"/>
      <c r="C1" s="44" t="n"/>
      <c r="D1" s="44" t="n"/>
    </row>
    <row r="2">
      <c r="A2" s="63" t="inlineStr">
        <is>
          <t>Stawka godzinowa</t>
        </is>
      </c>
      <c r="B2" s="64" t="n">
        <v>50</v>
      </c>
      <c r="C2" s="65" t="inlineStr">
        <is>
          <t>PLN/h</t>
        </is>
      </c>
      <c r="D2" s="66" t="inlineStr">
        <is>
          <t>Edytowalna — zmiana automatycznie przelicza kolumny kosztowe</t>
        </is>
      </c>
    </row>
    <row r="3">
      <c r="A3" s="67" t="inlineStr">
        <is>
          <t>PM — zarządzanie projektem</t>
        </is>
      </c>
      <c r="B3" s="68" t="n">
        <v>0.05</v>
      </c>
      <c r="C3" s="69" t="inlineStr">
        <is>
          <t>%</t>
        </is>
      </c>
      <c r="D3" s="70" t="inlineStr">
        <is>
          <t>5% od sumy godzin modułów</t>
        </is>
      </c>
    </row>
    <row r="4">
      <c r="A4" s="63" t="inlineStr">
        <is>
          <t>Bufor ryzyka</t>
        </is>
      </c>
      <c r="B4" s="71" t="n">
        <v>0.15</v>
      </c>
      <c r="C4" s="65" t="inlineStr">
        <is>
          <t>%</t>
        </is>
      </c>
      <c r="D4" s="66" t="inlineStr">
        <is>
          <t>15% od sumy godzin modułów</t>
        </is>
      </c>
    </row>
    <row r="5">
      <c r="A5" s="67" t="inlineStr">
        <is>
          <t>Kurs USD → PLN</t>
        </is>
      </c>
      <c r="B5" s="72" t="n">
        <v>4.05</v>
      </c>
      <c r="C5" s="69" t="inlineStr">
        <is>
          <t>USD/PLN</t>
        </is>
      </c>
      <c r="D5" s="70" t="inlineStr">
        <is>
          <t>Do przeliczenia Apple Developer Program</t>
        </is>
      </c>
    </row>
    <row r="6">
      <c r="A6" s="63" t="inlineStr">
        <is>
          <t>Technologia</t>
        </is>
      </c>
      <c r="B6" s="73" t="inlineStr">
        <is>
          <t>.NET MAUI (C#)</t>
        </is>
      </c>
      <c r="C6" s="65" t="inlineStr"/>
      <c r="D6" s="66" t="inlineStr">
        <is>
          <t>Visual Studio / VS Code; SkiaSharp; Multipeer Connectivity; SQLite</t>
        </is>
      </c>
    </row>
    <row r="7">
      <c r="A7" s="67" t="inlineStr">
        <is>
          <t>Reuse</t>
        </is>
      </c>
      <c r="B7" s="74" t="inlineStr">
        <is>
          <t>Infirmary Integrated</t>
        </is>
      </c>
      <c r="C7" s="69" t="inlineStr"/>
      <c r="D7" s="70" t="inlineStr">
        <is>
          <t>Apache 2.0 — wymagana atrybucja i plik NOTICE</t>
        </is>
      </c>
    </row>
    <row r="8">
      <c r="A8" s="63" t="inlineStr">
        <is>
          <t>Dystrybucja</t>
        </is>
      </c>
      <c r="B8" s="73" t="inlineStr">
        <is>
          <t>TestFlight</t>
        </is>
      </c>
      <c r="C8" s="65" t="inlineStr"/>
      <c r="D8" s="66" t="inlineStr">
        <is>
          <t>Apple Developer Program 99 USD/rok</t>
        </is>
      </c>
    </row>
    <row r="9">
      <c r="A9" s="67" t="inlineStr">
        <is>
          <t>Data wyceny</t>
        </is>
      </c>
      <c r="B9" s="74" t="inlineStr">
        <is>
          <t>2026-06-15</t>
        </is>
      </c>
      <c r="C9" s="69" t="inlineStr"/>
      <c r="D9" s="7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2026-06-15T05:40:05Z</dcterms:created>
  <dcterms:modified xsi:type="dcterms:W3CDTF">2026-06-15T05:40:05Z</dcterms:modified>
</cp:coreProperties>
</file>