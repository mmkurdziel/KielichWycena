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Wycena szczegółowa" sheetId="2" state="visible" r:id="rId2"/>
    <sheet name="Wariant C (reuse)" sheetId="3" state="visible" r:id="rId3"/>
    <sheet name="Opcje dodatkowe" sheetId="4" state="visible" r:id="rId4"/>
    <sheet name="Koszty stałe" sheetId="5" state="visible" r:id="rId5"/>
    <sheet name="Ryzyka" sheetId="6" state="visible" r:id="rId6"/>
    <sheet name="Założen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#,##0&quot; zł&quot;;-#,##0&quot; zł&quot;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2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165" fontId="9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WYCENA — „Kielich”: symulator monitora pacjenta (iPad, .NET MAUI)</t>
        </is>
      </c>
    </row>
    <row r="2" ht="16" customHeight="1">
      <c r="A2" s="2" t="inlineStr">
        <is>
          <t>Aplikacja szkoleniowa (edukacyjna, NIE wyrób medyczny) • Pilot ↔ Monitor • offline P2P • wycena bez instalacji/konfiguracji środowiska • 2026-06-14</t>
        </is>
      </c>
    </row>
    <row r="4">
      <c r="A4" s="3" t="inlineStr">
        <is>
          <t>ZAŁOŻENIA KLUCZOWE (edytowalne)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Stawka godzinowa</t>
        </is>
      </c>
      <c r="B5" s="6" t="n">
        <v>50</v>
      </c>
      <c r="C5" s="7" t="inlineStr">
        <is>
          <t>zł/h</t>
        </is>
      </c>
    </row>
    <row r="6">
      <c r="A6" s="5" t="inlineStr">
        <is>
          <t>Zarządzanie projektem (PM)</t>
        </is>
      </c>
      <c r="B6" s="8" t="n">
        <v>0.05</v>
      </c>
      <c r="C6" s="7" t="inlineStr">
        <is>
          <t>% pracy modułów</t>
        </is>
      </c>
    </row>
    <row r="7">
      <c r="A7" s="5" t="inlineStr">
        <is>
          <t>Bufor ryzyka / rezerwa</t>
        </is>
      </c>
      <c r="B7" s="8" t="n">
        <v>0.15</v>
      </c>
      <c r="C7" s="7" t="inlineStr">
        <is>
          <t>% pracy modułów</t>
        </is>
      </c>
    </row>
    <row r="8">
      <c r="A8" s="5" t="inlineStr">
        <is>
          <t>Kurs USD → PLN</t>
        </is>
      </c>
      <c r="B8" s="9" t="n">
        <v>4.05</v>
      </c>
      <c r="C8" s="7" t="inlineStr">
        <is>
          <t>do przeliczeń licencji</t>
        </is>
      </c>
    </row>
    <row r="10">
      <c r="A10" s="3" t="inlineStr">
        <is>
          <t>PORÓWNANIE WARIANTÓW</t>
        </is>
      </c>
      <c r="B10" s="4" t="n"/>
      <c r="C10" s="4" t="n"/>
      <c r="D10" s="4" t="n"/>
      <c r="E10" s="4" t="n"/>
      <c r="F10" s="4" t="n"/>
      <c r="G10" s="4" t="n"/>
    </row>
    <row r="11" ht="30" customHeight="1">
      <c r="A11" s="10" t="inlineStr">
        <is>
          <t>Pozycja</t>
        </is>
      </c>
      <c r="B11" s="11" t="inlineStr">
        <is>
          <t>Wariant A — Podstawowy (1:1)</t>
        </is>
      </c>
      <c r="C11" s="12" t="n"/>
      <c r="D11" s="11" t="inlineStr">
        <is>
          <t>Wariant B — + Opcja 1:N</t>
        </is>
      </c>
      <c r="E11" s="12" t="n"/>
      <c r="F11" s="11" t="inlineStr">
        <is>
          <t>Wariant C — + reuse II Library (1:1)</t>
        </is>
      </c>
      <c r="G11" s="12" t="n"/>
    </row>
    <row r="12">
      <c r="A12" s="13" t="n"/>
      <c r="B12" s="14" t="inlineStr">
        <is>
          <t>Godziny</t>
        </is>
      </c>
      <c r="C12" s="14" t="inlineStr">
        <is>
          <t>Koszt</t>
        </is>
      </c>
      <c r="D12" s="14" t="inlineStr">
        <is>
          <t>Godziny</t>
        </is>
      </c>
      <c r="E12" s="14" t="inlineStr">
        <is>
          <t>Koszt</t>
        </is>
      </c>
      <c r="F12" s="14" t="inlineStr">
        <is>
          <t>Godziny</t>
        </is>
      </c>
      <c r="G12" s="14" t="inlineStr">
        <is>
          <t>Koszt</t>
        </is>
      </c>
    </row>
    <row r="13">
      <c r="A13" s="5" t="inlineStr">
        <is>
          <t>Moduły (development + testy)</t>
        </is>
      </c>
      <c r="B13" s="15">
        <f>'Wycena szczegółowa'!$C$75</f>
        <v/>
      </c>
      <c r="C13" s="16">
        <f>'Wycena szczegółowa'!$D$75</f>
        <v/>
      </c>
      <c r="D13" s="15">
        <f>'Wycena szczegółowa'!$C$75+'Opcje dodatkowe'!$C$3</f>
        <v/>
      </c>
      <c r="E13" s="16">
        <f>'Wycena szczegółowa'!$D$75+'Opcje dodatkowe'!$D$3</f>
        <v/>
      </c>
      <c r="F13" s="15">
        <f>'Wariant C (reuse)'!$D$18</f>
        <v/>
      </c>
      <c r="G13" s="16">
        <f>'Wariant C (reuse)'!$E$18</f>
        <v/>
      </c>
    </row>
    <row r="14">
      <c r="A14" s="5" t="inlineStr">
        <is>
          <t>Zarządzanie projektem (PM)</t>
        </is>
      </c>
      <c r="B14" s="15">
        <f>B13*$B$6</f>
        <v/>
      </c>
      <c r="C14" s="16">
        <f>B14*$B$5</f>
        <v/>
      </c>
      <c r="D14" s="15">
        <f>D13*$B$6</f>
        <v/>
      </c>
      <c r="E14" s="16">
        <f>D14*$B$5</f>
        <v/>
      </c>
      <c r="F14" s="15">
        <f>F13*$B$6</f>
        <v/>
      </c>
      <c r="G14" s="16">
        <f>F14*$B$5</f>
        <v/>
      </c>
    </row>
    <row r="15">
      <c r="A15" s="5" t="inlineStr">
        <is>
          <t>Bufor ryzyka / rezerwa</t>
        </is>
      </c>
      <c r="B15" s="15">
        <f>B13*$B$7</f>
        <v/>
      </c>
      <c r="C15" s="16">
        <f>B15*$B$5</f>
        <v/>
      </c>
      <c r="D15" s="15">
        <f>D13*$B$7</f>
        <v/>
      </c>
      <c r="E15" s="16">
        <f>D15*$B$5</f>
        <v/>
      </c>
      <c r="F15" s="15">
        <f>F13*$B$7</f>
        <v/>
      </c>
      <c r="G15" s="16">
        <f>F15*$B$5</f>
        <v/>
      </c>
    </row>
    <row r="16">
      <c r="A16" s="17" t="inlineStr">
        <is>
          <t>RAZEM praca</t>
        </is>
      </c>
      <c r="B16" s="18">
        <f>SUM(B13:B15)</f>
        <v/>
      </c>
      <c r="C16" s="19">
        <f>SUM(C13:C15)</f>
        <v/>
      </c>
      <c r="D16" s="18">
        <f>SUM(D13:D15)</f>
        <v/>
      </c>
      <c r="E16" s="19">
        <f>SUM(E13:E15)</f>
        <v/>
      </c>
      <c r="F16" s="18">
        <f>SUM(F13:F15)</f>
        <v/>
      </c>
      <c r="G16" s="19">
        <f>SUM(G13:G15)</f>
        <v/>
      </c>
    </row>
    <row r="17">
      <c r="A17" s="5" t="inlineStr">
        <is>
          <t>Koszty stałe (sprzęt, konta, licencje)</t>
        </is>
      </c>
      <c r="B17" s="20" t="inlineStr">
        <is>
          <t>—</t>
        </is>
      </c>
      <c r="C17" s="16">
        <f>'Koszty stałe'!$C$7</f>
        <v/>
      </c>
      <c r="D17" s="20" t="inlineStr">
        <is>
          <t>—</t>
        </is>
      </c>
      <c r="E17" s="16">
        <f>'Koszty stałe'!$C$7</f>
        <v/>
      </c>
      <c r="F17" s="20" t="inlineStr">
        <is>
          <t>—</t>
        </is>
      </c>
      <c r="G17" s="16">
        <f>'Koszty stałe'!$C$7</f>
        <v/>
      </c>
    </row>
    <row r="18">
      <c r="A18" s="21" t="inlineStr">
        <is>
          <t>SUMA CAŁKOWITA</t>
        </is>
      </c>
      <c r="B18" s="12" t="n"/>
      <c r="C18" s="22">
        <f>C16+C17</f>
        <v/>
      </c>
      <c r="D18" s="12" t="n"/>
      <c r="E18" s="22">
        <f>E16+E17</f>
        <v/>
      </c>
      <c r="F18" s="12" t="n"/>
      <c r="G18" s="22">
        <f>G16+G17</f>
        <v/>
      </c>
    </row>
    <row r="20">
      <c r="A20" s="23" t="inlineStr">
        <is>
          <t>Uwagi:</t>
        </is>
      </c>
    </row>
    <row r="21">
      <c r="A21" s="24" t="inlineStr">
        <is>
          <t>• Wariant B = Wariant A + Opcja A (1:N do 4). Wariant C = Wariant A z ponownym użyciem II Library (Apache 2.0, pełny zakres).</t>
        </is>
      </c>
    </row>
    <row r="22">
      <c r="A22" s="24" t="inlineStr">
        <is>
          <t>• Wariant C wymaga atrybucji licencyjnej i niesie zależność od cudzego kodu (patrz Ryzyka R11). UI i komunikacja P2P pisane od zera — repo tu nie pomaga.</t>
        </is>
      </c>
    </row>
    <row r="23">
      <c r="A23" s="24" t="inlineStr">
        <is>
          <t>• PM i bufor liczone od godzin modułów danego wariantu. Koszty stałe identyczne we wszystkich wariantach.</t>
        </is>
      </c>
    </row>
    <row r="24">
      <c r="A24" s="24" t="inlineStr">
        <is>
          <t>• Dodatkowe iPady do testów 1:N (opcjonalnie) — patrz „Koszty stałe”, poza SUMĄ.</t>
        </is>
      </c>
    </row>
    <row r="25">
      <c r="A25" s="24" t="inlineStr">
        <is>
          <t>• Opcja B (pełny capture) i Opcja C (Android) — patrz „Opcje dodatkowe”, poza SUMĄ.</t>
        </is>
      </c>
    </row>
    <row r="26">
      <c r="A26" s="24" t="inlineStr">
        <is>
          <t>• Godziny to pola wejściowe (niebieskie); kwoty liczą się automatycznie ze stawki.</t>
        </is>
      </c>
    </row>
  </sheetData>
  <mergeCells count="17">
    <mergeCell ref="C7:G7"/>
    <mergeCell ref="F11:G11"/>
    <mergeCell ref="A1:G1"/>
    <mergeCell ref="B11:C11"/>
    <mergeCell ref="C6:G6"/>
    <mergeCell ref="D11:E11"/>
    <mergeCell ref="A21:G21"/>
    <mergeCell ref="A22:G22"/>
    <mergeCell ref="A20:G20"/>
    <mergeCell ref="C5:G5"/>
    <mergeCell ref="A2:G2"/>
    <mergeCell ref="A24:G24"/>
    <mergeCell ref="A26:G26"/>
    <mergeCell ref="A25:G25"/>
    <mergeCell ref="C8:G8"/>
    <mergeCell ref="A10:G10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11" customWidth="1" min="3" max="3"/>
    <col width="15" customWidth="1" min="4" max="4"/>
    <col width="34" customWidth="1" min="5" max="5"/>
  </cols>
  <sheetData>
    <row r="1" ht="22" customHeight="1">
      <c r="A1" s="25" t="inlineStr">
        <is>
          <t>WYCENA SZCZEGÓŁOWA — Wariant A (własny kod), rozbicie na moduły i czynności</t>
        </is>
      </c>
    </row>
    <row r="2" ht="30" customHeight="1">
      <c r="A2" s="11" t="inlineStr">
        <is>
          <t>Kamień milowy / moduł</t>
        </is>
      </c>
      <c r="B2" s="11" t="inlineStr">
        <is>
          <t>Czynność</t>
        </is>
      </c>
      <c r="C2" s="11" t="inlineStr">
        <is>
          <t>Godziny</t>
        </is>
      </c>
      <c r="D2" s="11" t="inlineStr">
        <is>
          <t>Koszt</t>
        </is>
      </c>
      <c r="E2" s="11" t="inlineStr">
        <is>
          <t>Uwagi</t>
        </is>
      </c>
    </row>
    <row r="3">
      <c r="A3" s="26" t="inlineStr">
        <is>
          <t>M1 — Architektura i komunikacja P2P (APLIKACJA PODSTAWOWA: 2 iPady)</t>
        </is>
      </c>
      <c r="B3" s="13" t="n"/>
      <c r="C3" s="27">
        <f>SUM(C4:C10)</f>
        <v/>
      </c>
      <c r="D3" s="28">
        <f>SUM(D4:D10)</f>
        <v/>
      </c>
      <c r="E3" s="13" t="n"/>
    </row>
    <row r="4">
      <c r="A4" s="5" t="n"/>
      <c r="B4" s="29" t="inlineStr">
        <is>
          <t>Projekt architektury: warstwy, MVVM, abstrakcja transportu sieciowego pod przyszły Android</t>
        </is>
      </c>
      <c r="C4" s="30" t="n">
        <v>16</v>
      </c>
      <c r="D4" s="16">
        <f>C4*Podsumowanie!$B$5</f>
        <v/>
      </c>
      <c r="E4" s="31" t="inlineStr"/>
    </row>
    <row r="5">
      <c r="A5" s="5" t="n"/>
      <c r="B5" s="29" t="inlineStr">
        <is>
          <t>Ekran startowy + wybór roli (Pilot / Monitor)</t>
        </is>
      </c>
      <c r="C5" s="30" t="n">
        <v>8</v>
      </c>
      <c r="D5" s="16">
        <f>C5*Podsumowanie!$B$5</f>
        <v/>
      </c>
      <c r="E5" s="31" t="inlineStr"/>
    </row>
    <row r="6">
      <c r="A6" s="5" t="n"/>
      <c r="B6" s="29" t="inlineStr">
        <is>
          <t>PoC Multipeer Connectivity w MAUI (binding warstwy natywnej, wykrywanie urządzeń)</t>
        </is>
      </c>
      <c r="C6" s="30" t="n">
        <v>24</v>
      </c>
      <c r="D6" s="16">
        <f>C6*Podsumowanie!$B$5</f>
        <v/>
      </c>
      <c r="E6" s="31" t="inlineStr">
        <is>
          <t>Ryzyko R1</t>
        </is>
      </c>
    </row>
    <row r="7">
      <c r="A7" s="5" t="n"/>
      <c r="B7" s="29" t="inlineStr">
        <is>
          <t>Warstwa synchronizacji stanu w czasie rzeczywistym (model danych, protokół, serializacja)</t>
        </is>
      </c>
      <c r="C7" s="30" t="n">
        <v>24</v>
      </c>
      <c r="D7" s="16">
        <f>C7*Podsumowanie!$B$5</f>
        <v/>
      </c>
      <c r="E7" s="31" t="inlineStr"/>
    </row>
    <row r="8">
      <c r="A8" s="5" t="n"/>
      <c r="B8" s="29" t="inlineStr">
        <is>
          <t>Lista dostępnych Pilotów + wybór bez wpisywania kodu</t>
        </is>
      </c>
      <c r="C8" s="30" t="n">
        <v>10</v>
      </c>
      <c r="D8" s="16">
        <f>C8*Podsumowanie!$B$5</f>
        <v/>
      </c>
      <c r="E8" s="31" t="inlineStr"/>
    </row>
    <row r="9">
      <c r="A9" s="5" t="n"/>
      <c r="B9" s="29" t="inlineStr">
        <is>
          <t>Obsługa rozłączeń / reconnect + wskaźnik stanu połączenia</t>
        </is>
      </c>
      <c r="C9" s="30" t="n">
        <v>12</v>
      </c>
      <c r="D9" s="16">
        <f>C9*Podsumowanie!$B$5</f>
        <v/>
      </c>
      <c r="E9" s="31" t="inlineStr"/>
    </row>
    <row r="10">
      <c r="A10" s="5" t="n"/>
      <c r="B10" s="29" t="inlineStr">
        <is>
          <t>Testy komunikacji na 2 fizycznych iPadach</t>
        </is>
      </c>
      <c r="C10" s="30" t="n">
        <v>10</v>
      </c>
      <c r="D10" s="16">
        <f>C10*Podsumowanie!$B$5</f>
        <v/>
      </c>
      <c r="E10" s="31" t="inlineStr">
        <is>
          <t>Wymaga 2 iPadów</t>
        </is>
      </c>
    </row>
    <row r="11">
      <c r="A11" s="26" t="inlineStr">
        <is>
          <t>M2 — Widok Monitora (silnik przebiegów + parametry)</t>
        </is>
      </c>
      <c r="B11" s="13" t="n"/>
      <c r="C11" s="27">
        <f>SUM(C12:C16)</f>
        <v/>
      </c>
      <c r="D11" s="28">
        <f>SUM(D12:D16)</f>
        <v/>
      </c>
      <c r="E11" s="13" t="n"/>
    </row>
    <row r="12">
      <c r="A12" s="5" t="n"/>
      <c r="B12" s="29" t="inlineStr">
        <is>
          <t>Silnik renderowania przebiegów (rysowanie, animacja, skala czasu)</t>
        </is>
      </c>
      <c r="C12" s="30" t="n">
        <v>30</v>
      </c>
      <c r="D12" s="16">
        <f>C12*Podsumowanie!$B$5</f>
        <v/>
      </c>
      <c r="E12" s="31" t="inlineStr">
        <is>
          <t>Główny driver kosztów</t>
        </is>
      </c>
    </row>
    <row r="13">
      <c r="A13" s="5" t="n"/>
      <c r="B13" s="29" t="inlineStr">
        <is>
          <t>Przebiegi bazowe: EKG, pleth/SpO₂, ciśnienie tętnicze, CVP/PAP, EtCO₂</t>
        </is>
      </c>
      <c r="C13" s="30" t="n">
        <v>40</v>
      </c>
      <c r="D13" s="16">
        <f>C13*Podsumowanie!$B$5</f>
        <v/>
      </c>
      <c r="E13" s="31" t="inlineStr"/>
    </row>
    <row r="14">
      <c r="A14" s="5" t="n"/>
      <c r="B14" s="29" t="inlineStr">
        <is>
          <t>Kolumna parametrów liczbowych (HR, SpO₂, BP, CVP, PAP, EtCO₂, RR, Temp, Timer)</t>
        </is>
      </c>
      <c r="C14" s="30" t="n">
        <v>20</v>
      </c>
      <c r="D14" s="16">
        <f>C14*Podsumowanie!$B$5</f>
        <v/>
      </c>
      <c r="E14" s="31" t="inlineStr"/>
    </row>
    <row r="15">
      <c r="A15" s="5" t="n"/>
      <c r="B15" s="29" t="inlineStr">
        <is>
          <t>Layout monitora (ciemne tło, czytelność z odległości, układ iPad)</t>
        </is>
      </c>
      <c r="C15" s="30" t="n">
        <v>16</v>
      </c>
      <c r="D15" s="16">
        <f>C15*Podsumowanie!$B$5</f>
        <v/>
      </c>
      <c r="E15" s="31" t="inlineStr"/>
    </row>
    <row r="16">
      <c r="A16" s="5" t="n"/>
      <c r="B16" s="29" t="inlineStr">
        <is>
          <t>Synchronizacja przebiegów i parametrów z Pilotem</t>
        </is>
      </c>
      <c r="C16" s="30" t="n">
        <v>14</v>
      </c>
      <c r="D16" s="16">
        <f>C16*Podsumowanie!$B$5</f>
        <v/>
      </c>
      <c r="E16" s="31" t="inlineStr"/>
    </row>
    <row r="17">
      <c r="A17" s="26" t="inlineStr">
        <is>
          <t>M3 — Pilot: pulpit instruktora</t>
        </is>
      </c>
      <c r="B17" s="13" t="n"/>
      <c r="C17" s="27">
        <f>SUM(C18:C22)</f>
        <v/>
      </c>
      <c r="D17" s="28">
        <f>SUM(D18:D22)</f>
        <v/>
      </c>
      <c r="E17" s="13" t="n"/>
    </row>
    <row r="18">
      <c r="A18" s="5" t="n"/>
      <c r="B18" s="29" t="inlineStr">
        <is>
          <t>Layout Pilota (podgląd monitora + panel sterowania)</t>
        </is>
      </c>
      <c r="C18" s="30" t="n">
        <v>16</v>
      </c>
      <c r="D18" s="16">
        <f>C18*Podsumowanie!$B$5</f>
        <v/>
      </c>
      <c r="E18" s="31" t="inlineStr"/>
    </row>
    <row r="19">
      <c r="A19" s="5" t="n"/>
      <c r="B19" s="29" t="inlineStr">
        <is>
          <t>Ręczna zmiana parametrów (kontrolki, walidacja, wysyłka do Monitora)</t>
        </is>
      </c>
      <c r="C19" s="30" t="n">
        <v>24</v>
      </c>
      <c r="D19" s="16">
        <f>C19*Podsumowanie!$B$5</f>
        <v/>
      </c>
      <c r="E19" s="31" t="inlineStr"/>
    </row>
    <row r="20">
      <c r="A20" s="5" t="n"/>
      <c r="B20" s="29" t="inlineStr">
        <is>
          <t>UI wyboru rytmów i zakłóceń</t>
        </is>
      </c>
      <c r="C20" s="30" t="n">
        <v>16</v>
      </c>
      <c r="D20" s="16">
        <f>C20*Podsumowanie!$B$5</f>
        <v/>
      </c>
      <c r="E20" s="31" t="inlineStr"/>
    </row>
    <row r="21">
      <c r="A21" s="5" t="n"/>
      <c r="B21" s="29" t="inlineStr">
        <is>
          <t>Podgląd stanu połączenia i statusów</t>
        </is>
      </c>
      <c r="C21" s="30" t="n">
        <v>8</v>
      </c>
      <c r="D21" s="16">
        <f>C21*Podsumowanie!$B$5</f>
        <v/>
      </c>
      <c r="E21" s="31" t="inlineStr"/>
    </row>
    <row r="22">
      <c r="A22" s="5" t="n"/>
      <c r="B22" s="29" t="inlineStr">
        <is>
          <t>Integracja z warstwą synchronizacji</t>
        </is>
      </c>
      <c r="C22" s="30" t="n">
        <v>12</v>
      </c>
      <c r="D22" s="16">
        <f>C22*Podsumowanie!$B$5</f>
        <v/>
      </c>
      <c r="E22" s="31" t="inlineStr"/>
    </row>
    <row r="23">
      <c r="A23" s="26" t="inlineStr">
        <is>
          <t>M4 — Arytmie i zakłócenia (stany przebiegów)</t>
        </is>
      </c>
      <c r="B23" s="13" t="n"/>
      <c r="C23" s="27">
        <f>SUM(C24:C29)</f>
        <v/>
      </c>
      <c r="D23" s="28">
        <f>SUM(D24:D29)</f>
        <v/>
      </c>
      <c r="E23" s="13" t="n"/>
    </row>
    <row r="24">
      <c r="A24" s="5" t="n"/>
      <c r="B24" s="29" t="inlineStr">
        <is>
          <t>EKG: 17 stanów (bloki, AF, flutter, junctional, LBBB/RBBB, ST elevation, SVT, Torsades, VF, VT, Noise, Disable)</t>
        </is>
      </c>
      <c r="C24" s="30" t="n">
        <v>60</v>
      </c>
      <c r="D24" s="16">
        <f>C24*Podsumowanie!$B$5</f>
        <v/>
      </c>
      <c r="E24" s="31" t="inlineStr">
        <is>
          <t>Wiarygodność = główny driver</t>
        </is>
      </c>
    </row>
    <row r="25">
      <c r="A25" s="5" t="n"/>
      <c r="B25" s="29" t="inlineStr">
        <is>
          <t>EtCO₂: 8 stanów</t>
        </is>
      </c>
      <c r="C25" s="30" t="n">
        <v>16</v>
      </c>
      <c r="D25" s="16">
        <f>C25*Podsumowanie!$B$5</f>
        <v/>
      </c>
      <c r="E25" s="31" t="inlineStr"/>
    </row>
    <row r="26">
      <c r="A26" s="5" t="n"/>
      <c r="B26" s="29" t="inlineStr">
        <is>
          <t>PAP / CVP: 7 stanów</t>
        </is>
      </c>
      <c r="C26" s="30" t="n">
        <v>16</v>
      </c>
      <c r="D26" s="16">
        <f>C26*Podsumowanie!$B$5</f>
        <v/>
      </c>
      <c r="E26" s="31" t="inlineStr"/>
    </row>
    <row r="27">
      <c r="A27" s="5" t="n"/>
      <c r="B27" s="29" t="inlineStr">
        <is>
          <t>Arterial / BP: 4 stany</t>
        </is>
      </c>
      <c r="C27" s="30" t="n">
        <v>10</v>
      </c>
      <c r="D27" s="16">
        <f>C27*Podsumowanie!$B$5</f>
        <v/>
      </c>
      <c r="E27" s="31" t="inlineStr"/>
    </row>
    <row r="28">
      <c r="A28" s="5" t="n"/>
      <c r="B28" s="29" t="inlineStr">
        <is>
          <t>Mechanizm przełączania stanów + wpływ na parametry + synchronizacja</t>
        </is>
      </c>
      <c r="C28" s="30" t="n">
        <v>16</v>
      </c>
      <c r="D28" s="16">
        <f>C28*Podsumowanie!$B$5</f>
        <v/>
      </c>
      <c r="E28" s="31" t="inlineStr"/>
    </row>
    <row r="29">
      <c r="A29" s="5" t="n"/>
      <c r="B29" s="29" t="inlineStr">
        <is>
          <t>Testy wiarygodności wizualnej</t>
        </is>
      </c>
      <c r="C29" s="30" t="n">
        <v>12</v>
      </c>
      <c r="D29" s="16">
        <f>C29*Podsumowanie!$B$5</f>
        <v/>
      </c>
      <c r="E29" s="31" t="inlineStr"/>
    </row>
    <row r="30">
      <c r="A30" s="26" t="inlineStr">
        <is>
          <t>M5 — System scenariuszy</t>
        </is>
      </c>
      <c r="B30" s="13" t="n"/>
      <c r="C30" s="27">
        <f>SUM(C31:C36)</f>
        <v/>
      </c>
      <c r="D30" s="28">
        <f>SUM(D31:D36)</f>
        <v/>
      </c>
      <c r="E30" s="13" t="n"/>
    </row>
    <row r="31">
      <c r="A31" s="5" t="n"/>
      <c r="B31" s="29" t="inlineStr">
        <is>
          <t>Model danych scenariusza (parametry, rytm, zakłócenia, ustawienia terapii, notatki)</t>
        </is>
      </c>
      <c r="C31" s="30" t="n">
        <v>12</v>
      </c>
      <c r="D31" s="16">
        <f>C31*Podsumowanie!$B$5</f>
        <v/>
      </c>
      <c r="E31" s="31" t="inlineStr"/>
    </row>
    <row r="32">
      <c r="A32" s="5" t="n"/>
      <c r="B32" s="29" t="inlineStr">
        <is>
          <t>Zapis lokalny (persistencja danych na urządzeniu)</t>
        </is>
      </c>
      <c r="C32" s="30" t="n">
        <v>12</v>
      </c>
      <c r="D32" s="16">
        <f>C32*Podsumowanie!$B$5</f>
        <v/>
      </c>
      <c r="E32" s="31" t="inlineStr"/>
    </row>
    <row r="33">
      <c r="A33" s="5" t="n"/>
      <c r="B33" s="29" t="inlineStr">
        <is>
          <t>CRUD: tworzenie / edycja / kopiowanie / usuwanie</t>
        </is>
      </c>
      <c r="C33" s="30" t="n">
        <v>24</v>
      </c>
      <c r="D33" s="16">
        <f>C33*Podsumowanie!$B$5</f>
        <v/>
      </c>
      <c r="E33" s="31" t="inlineStr"/>
    </row>
    <row r="34">
      <c r="A34" s="5" t="n"/>
      <c r="B34" s="29" t="inlineStr">
        <is>
          <t>Edytor scenariuszy (interfejs)</t>
        </is>
      </c>
      <c r="C34" s="30" t="n">
        <v>28</v>
      </c>
      <c r="D34" s="16">
        <f>C34*Podsumowanie!$B$5</f>
        <v/>
      </c>
      <c r="E34" s="31" t="inlineStr"/>
    </row>
    <row r="35">
      <c r="A35" s="5" t="n"/>
      <c r="B35" s="29" t="inlineStr">
        <is>
          <t>Szybkie uruchamianie + przełączanie scenariuszy w trakcie szkolenia</t>
        </is>
      </c>
      <c r="C35" s="30" t="n">
        <v>16</v>
      </c>
      <c r="D35" s="16">
        <f>C35*Podsumowanie!$B$5</f>
        <v/>
      </c>
      <c r="E35" s="31" t="inlineStr"/>
    </row>
    <row r="36">
      <c r="A36" s="5" t="n"/>
      <c r="B36" s="29" t="inlineStr">
        <is>
          <t>Testy</t>
        </is>
      </c>
      <c r="C36" s="30" t="n">
        <v>10</v>
      </c>
      <c r="D36" s="16">
        <f>C36*Podsumowanie!$B$5</f>
        <v/>
      </c>
      <c r="E36" s="31" t="inlineStr"/>
    </row>
    <row r="37">
      <c r="A37" s="26" t="inlineStr">
        <is>
          <t>M6 — Tryb Defib (defibrylacja)</t>
        </is>
      </c>
      <c r="B37" s="13" t="n"/>
      <c r="C37" s="27">
        <f>SUM(C38:C43)</f>
        <v/>
      </c>
      <c r="D37" s="28">
        <f>SUM(D38:D43)</f>
        <v/>
      </c>
      <c r="E37" s="13" t="n"/>
    </row>
    <row r="38">
      <c r="A38" s="5" t="n"/>
      <c r="B38" s="29" t="inlineStr">
        <is>
          <t>Widok Defib + lokalne przełączanie widoków Monitor / Defib / AED</t>
        </is>
      </c>
      <c r="C38" s="30" t="n">
        <v>16</v>
      </c>
      <c r="D38" s="16">
        <f>C38*Podsumowanie!$B$5</f>
        <v/>
      </c>
      <c r="E38" s="31" t="inlineStr"/>
    </row>
    <row r="39">
      <c r="A39" s="5" t="n"/>
      <c r="B39" s="29" t="inlineStr">
        <is>
          <t>Panel wspólny (POWER, ENERGY, CHARGE, SHOCK, DISARM)</t>
        </is>
      </c>
      <c r="C39" s="30" t="n">
        <v>16</v>
      </c>
      <c r="D39" s="16">
        <f>C39*Podsumowanie!$B$5</f>
        <v/>
      </c>
      <c r="E39" s="31" t="inlineStr"/>
    </row>
    <row r="40">
      <c r="A40" s="5" t="n"/>
      <c r="B40" s="29" t="inlineStr">
        <is>
          <t>Wybór energii 10–360 J + animacja ładowania</t>
        </is>
      </c>
      <c r="C40" s="30" t="n">
        <v>14</v>
      </c>
      <c r="D40" s="16">
        <f>C40*Podsumowanie!$B$5</f>
        <v/>
      </c>
      <c r="E40" s="31" t="inlineStr"/>
    </row>
    <row r="41">
      <c r="A41" s="5" t="n"/>
      <c r="B41" s="29" t="inlineStr">
        <is>
          <t>SHOCK: efekt wizualny + dźwiękowy</t>
        </is>
      </c>
      <c r="C41" s="30" t="n">
        <v>12</v>
      </c>
      <c r="D41" s="16">
        <f>C41*Podsumowanie!$B$5</f>
        <v/>
      </c>
      <c r="E41" s="31" t="inlineStr"/>
    </row>
    <row r="42">
      <c r="A42" s="5" t="n"/>
      <c r="B42" s="29" t="inlineStr">
        <is>
          <t>Integracja z logiką zmiany rytmu</t>
        </is>
      </c>
      <c r="C42" s="30" t="n">
        <v>8</v>
      </c>
      <c r="D42" s="16">
        <f>C42*Podsumowanie!$B$5</f>
        <v/>
      </c>
      <c r="E42" s="31" t="inlineStr"/>
    </row>
    <row r="43">
      <c r="A43" s="5" t="n"/>
      <c r="B43" s="29" t="inlineStr">
        <is>
          <t>Testy</t>
        </is>
      </c>
      <c r="C43" s="30" t="n">
        <v>8</v>
      </c>
      <c r="D43" s="16">
        <f>C43*Podsumowanie!$B$5</f>
        <v/>
      </c>
      <c r="E43" s="31" t="inlineStr"/>
    </row>
    <row r="44">
      <c r="A44" s="26" t="inlineStr">
        <is>
          <t>M7 — Tryb AED</t>
        </is>
      </c>
      <c r="B44" s="13" t="n"/>
      <c r="C44" s="27">
        <f>SUM(C45:C48)</f>
        <v/>
      </c>
      <c r="D44" s="28">
        <f>SUM(D45:D48)</f>
        <v/>
      </c>
      <c r="E44" s="13" t="n"/>
    </row>
    <row r="45">
      <c r="A45" s="5" t="n"/>
      <c r="B45" s="29" t="inlineStr">
        <is>
          <t>Widok AED + logika prowadzenia (analiza, komunikaty, shock advised / no shock)</t>
        </is>
      </c>
      <c r="C45" s="30" t="n">
        <v>28</v>
      </c>
      <c r="D45" s="16">
        <f>C45*Podsumowanie!$B$5</f>
        <v/>
      </c>
      <c r="E45" s="31" t="inlineStr"/>
    </row>
    <row r="46">
      <c r="A46" s="5" t="n"/>
      <c r="B46" s="29" t="inlineStr">
        <is>
          <t>Integracja z logiką zmiany rytmu po wyładowaniach</t>
        </is>
      </c>
      <c r="C46" s="30" t="n">
        <v>10</v>
      </c>
      <c r="D46" s="16">
        <f>C46*Podsumowanie!$B$5</f>
        <v/>
      </c>
      <c r="E46" s="31" t="inlineStr"/>
    </row>
    <row r="47">
      <c r="A47" s="5" t="n"/>
      <c r="B47" s="29" t="inlineStr">
        <is>
          <t>Audio / komunikaty głosowe AED</t>
        </is>
      </c>
      <c r="C47" s="30" t="n">
        <v>8</v>
      </c>
      <c r="D47" s="16">
        <f>C47*Podsumowanie!$B$5</f>
        <v/>
      </c>
      <c r="E47" s="31" t="inlineStr"/>
    </row>
    <row r="48">
      <c r="A48" s="5" t="n"/>
      <c r="B48" s="29" t="inlineStr">
        <is>
          <t>Testy</t>
        </is>
      </c>
      <c r="C48" s="30" t="n">
        <v>8</v>
      </c>
      <c r="D48" s="16">
        <f>C48*Podsumowanie!$B$5</f>
        <v/>
      </c>
      <c r="E48" s="31" t="inlineStr"/>
    </row>
    <row r="49">
      <c r="A49" s="26" t="inlineStr">
        <is>
          <t>M8 — Kardiowersja zsynchronizowana</t>
        </is>
      </c>
      <c r="B49" s="13" t="n"/>
      <c r="C49" s="27">
        <f>SUM(C50:C53)</f>
        <v/>
      </c>
      <c r="D49" s="28">
        <f>SUM(D50:D53)</f>
        <v/>
      </c>
      <c r="E49" s="13" t="n"/>
    </row>
    <row r="50">
      <c r="A50" s="5" t="n"/>
      <c r="B50" s="29" t="inlineStr">
        <is>
          <t>Tryb SYNC + znacznik synchronizacji / marker R-wave</t>
        </is>
      </c>
      <c r="C50" s="30" t="n">
        <v>16</v>
      </c>
      <c r="D50" s="16">
        <f>C50*Podsumowanie!$B$5</f>
        <v/>
      </c>
      <c r="E50" s="31" t="inlineStr"/>
    </row>
    <row r="51">
      <c r="A51" s="5" t="n"/>
      <c r="B51" s="29" t="inlineStr">
        <is>
          <t>Ładowanie + wyładowanie zsynchronizowane</t>
        </is>
      </c>
      <c r="C51" s="30" t="n">
        <v>12</v>
      </c>
      <c r="D51" s="16">
        <f>C51*Podsumowanie!$B$5</f>
        <v/>
      </c>
      <c r="E51" s="31" t="inlineStr"/>
    </row>
    <row r="52">
      <c r="A52" s="5" t="n"/>
      <c r="B52" s="29" t="inlineStr">
        <is>
          <t>Efekty + integracja z logiką rytmu</t>
        </is>
      </c>
      <c r="C52" s="30" t="n">
        <v>10</v>
      </c>
      <c r="D52" s="16">
        <f>C52*Podsumowanie!$B$5</f>
        <v/>
      </c>
      <c r="E52" s="31" t="inlineStr"/>
    </row>
    <row r="53">
      <c r="A53" s="5" t="n"/>
      <c r="B53" s="29" t="inlineStr">
        <is>
          <t>Testy</t>
        </is>
      </c>
      <c r="C53" s="30" t="n">
        <v>6</v>
      </c>
      <c r="D53" s="16">
        <f>C53*Podsumowanie!$B$5</f>
        <v/>
      </c>
      <c r="E53" s="31" t="inlineStr"/>
    </row>
    <row r="54">
      <c r="A54" s="26" t="inlineStr">
        <is>
          <t>M9 — Stymulacja (Pacing) – model uproszczony</t>
        </is>
      </c>
      <c r="B54" s="13" t="n"/>
      <c r="C54" s="27">
        <f>SUM(C55:C58)</f>
        <v/>
      </c>
      <c r="D54" s="28">
        <f>SUM(D55:D58)</f>
        <v/>
      </c>
      <c r="E54" s="13" t="n"/>
    </row>
    <row r="55">
      <c r="A55" s="5" t="n"/>
      <c r="B55" s="29" t="inlineStr">
        <is>
          <t>Tryb pacing: rate, output / mA, start / stop</t>
        </is>
      </c>
      <c r="C55" s="30" t="n">
        <v>18</v>
      </c>
      <c r="D55" s="16">
        <f>C55*Podsumowanie!$B$5</f>
        <v/>
      </c>
      <c r="E55" s="31" t="inlineStr"/>
    </row>
    <row r="56">
      <c r="A56" s="5" t="n"/>
      <c r="B56" s="29" t="inlineStr">
        <is>
          <t>Wizualizacja pobudzeń stymulowanych na EKG</t>
        </is>
      </c>
      <c r="C56" s="30" t="n">
        <v>16</v>
      </c>
      <c r="D56" s="16">
        <f>C56*Podsumowanie!$B$5</f>
        <v/>
      </c>
      <c r="E56" s="31" t="inlineStr"/>
    </row>
    <row r="57">
      <c r="A57" s="5" t="n"/>
      <c r="B57" s="29" t="inlineStr">
        <is>
          <t>Uproszczony model capture / no-capture</t>
        </is>
      </c>
      <c r="C57" s="30" t="n">
        <v>12</v>
      </c>
      <c r="D57" s="16">
        <f>C57*Podsumowanie!$B$5</f>
        <v/>
      </c>
      <c r="E57" s="31" t="inlineStr">
        <is>
          <t>Pełny model = Opcja B</t>
        </is>
      </c>
    </row>
    <row r="58">
      <c r="A58" s="5" t="n"/>
      <c r="B58" s="29" t="inlineStr">
        <is>
          <t>Testy</t>
        </is>
      </c>
      <c r="C58" s="30" t="n">
        <v>6</v>
      </c>
      <c r="D58" s="16">
        <f>C58*Podsumowanie!$B$5</f>
        <v/>
      </c>
      <c r="E58" s="31" t="inlineStr"/>
    </row>
    <row r="59">
      <c r="A59" s="26" t="inlineStr">
        <is>
          <t>M10 — Logika wyładowań i zmiany rytmu (konfigurowalna)</t>
        </is>
      </c>
      <c r="B59" s="13" t="n"/>
      <c r="C59" s="27">
        <f>SUM(C60:C63)</f>
        <v/>
      </c>
      <c r="D59" s="28">
        <f>SUM(D60:D63)</f>
        <v/>
      </c>
      <c r="E59" s="13" t="n"/>
    </row>
    <row r="60">
      <c r="A60" s="5" t="n"/>
      <c r="B60" s="29" t="inlineStr">
        <is>
          <t>Silnik reguł (po ilu wyładowaniach → jaki rytm; łańcuch reguł)</t>
        </is>
      </c>
      <c r="C60" s="30" t="n">
        <v>20</v>
      </c>
      <c r="D60" s="16">
        <f>C60*Podsumowanie!$B$5</f>
        <v/>
      </c>
      <c r="E60" s="31" t="inlineStr"/>
    </row>
    <row r="61">
      <c r="A61" s="5" t="n"/>
      <c r="B61" s="29" t="inlineStr">
        <is>
          <t>Konfiguracja w Pilocie + przypisanie do scenariusza</t>
        </is>
      </c>
      <c r="C61" s="30" t="n">
        <v>16</v>
      </c>
      <c r="D61" s="16">
        <f>C61*Podsumowanie!$B$5</f>
        <v/>
      </c>
      <c r="E61" s="31" t="inlineStr"/>
    </row>
    <row r="62">
      <c r="A62" s="5" t="n"/>
      <c r="B62" s="29" t="inlineStr">
        <is>
          <t>Wspólne dla Defib i AED</t>
        </is>
      </c>
      <c r="C62" s="30" t="n">
        <v>8</v>
      </c>
      <c r="D62" s="16">
        <f>C62*Podsumowanie!$B$5</f>
        <v/>
      </c>
      <c r="E62" s="31" t="inlineStr"/>
    </row>
    <row r="63">
      <c r="A63" s="5" t="n"/>
      <c r="B63" s="29" t="inlineStr">
        <is>
          <t>Testy</t>
        </is>
      </c>
      <c r="C63" s="30" t="n">
        <v>8</v>
      </c>
      <c r="D63" s="16">
        <f>C63*Podsumowanie!$B$5</f>
        <v/>
      </c>
      <c r="E63" s="31" t="inlineStr"/>
    </row>
    <row r="64">
      <c r="A64" s="26" t="inlineStr">
        <is>
          <t>M11 — Ustawienia (audio, metronom, aplikacja, terapie)</t>
        </is>
      </c>
      <c r="B64" s="13" t="n"/>
      <c r="C64" s="27">
        <f>SUM(C65:C68)</f>
        <v/>
      </c>
      <c r="D64" s="28">
        <f>SUM(D65:D68)</f>
        <v/>
      </c>
      <c r="E64" s="13" t="n"/>
    </row>
    <row r="65">
      <c r="A65" s="5" t="n"/>
      <c r="B65" s="29" t="inlineStr">
        <is>
          <t>Ustawienia aplikacji</t>
        </is>
      </c>
      <c r="C65" s="30" t="n">
        <v>10</v>
      </c>
      <c r="D65" s="16">
        <f>C65*Podsumowanie!$B$5</f>
        <v/>
      </c>
      <c r="E65" s="31" t="inlineStr"/>
    </row>
    <row r="66">
      <c r="A66" s="5" t="n"/>
      <c r="B66" s="29" t="inlineStr">
        <is>
          <t>Ustawienia audio</t>
        </is>
      </c>
      <c r="C66" s="30" t="n">
        <v>8</v>
      </c>
      <c r="D66" s="16">
        <f>C66*Podsumowanie!$B$5</f>
        <v/>
      </c>
      <c r="E66" s="31" t="inlineStr"/>
    </row>
    <row r="67">
      <c r="A67" s="5" t="n"/>
      <c r="B67" s="29" t="inlineStr">
        <is>
          <t>Metronom (RKO)</t>
        </is>
      </c>
      <c r="C67" s="30" t="n">
        <v>12</v>
      </c>
      <c r="D67" s="16">
        <f>C67*Podsumowanie!$B$5</f>
        <v/>
      </c>
      <c r="E67" s="31" t="inlineStr"/>
    </row>
    <row r="68">
      <c r="A68" s="5" t="n"/>
      <c r="B68" s="29" t="inlineStr">
        <is>
          <t>Ustawienia trybów terapii (Defib / AED / kardiowersja / pacing)</t>
        </is>
      </c>
      <c r="C68" s="30" t="n">
        <v>10</v>
      </c>
      <c r="D68" s="16">
        <f>C68*Podsumowanie!$B$5</f>
        <v/>
      </c>
      <c r="E68" s="31" t="inlineStr"/>
    </row>
    <row r="69">
      <c r="A69" s="26" t="inlineStr">
        <is>
          <t>M12 — Testy, stabilizacja, UX, dystrybucja</t>
        </is>
      </c>
      <c r="B69" s="13" t="n"/>
      <c r="C69" s="27">
        <f>SUM(C70:C74)</f>
        <v/>
      </c>
      <c r="D69" s="28">
        <f>SUM(D70:D74)</f>
        <v/>
      </c>
      <c r="E69" s="13" t="n"/>
    </row>
    <row r="70">
      <c r="A70" s="5" t="n"/>
      <c r="B70" s="29" t="inlineStr">
        <is>
          <t>Testy integracyjne end-to-end na 2 urządzeniach</t>
        </is>
      </c>
      <c r="C70" s="30" t="n">
        <v>24</v>
      </c>
      <c r="D70" s="16">
        <f>C70*Podsumowanie!$B$5</f>
        <v/>
      </c>
      <c r="E70" s="31" t="inlineStr"/>
    </row>
    <row r="71">
      <c r="A71" s="5" t="n"/>
      <c r="B71" s="29" t="inlineStr">
        <is>
          <t>Stabilizacja połączenia + przypadki brzegowe</t>
        </is>
      </c>
      <c r="C71" s="30" t="n">
        <v>20</v>
      </c>
      <c r="D71" s="16">
        <f>C71*Podsumowanie!$B$5</f>
        <v/>
      </c>
      <c r="E71" s="31" t="inlineStr"/>
    </row>
    <row r="72">
      <c r="A72" s="5" t="n"/>
      <c r="B72" s="29" t="inlineStr">
        <is>
          <t>Dopracowanie UX i czytelności</t>
        </is>
      </c>
      <c r="C72" s="30" t="n">
        <v>16</v>
      </c>
      <c r="D72" s="16">
        <f>C72*Podsumowanie!$B$5</f>
        <v/>
      </c>
      <c r="E72" s="31" t="inlineStr"/>
    </row>
    <row r="73">
      <c r="A73" s="5" t="n"/>
      <c r="B73" s="29" t="inlineStr">
        <is>
          <t>Konfiguracja TestFlight + build dystrybucyjny</t>
        </is>
      </c>
      <c r="C73" s="30" t="n">
        <v>16</v>
      </c>
      <c r="D73" s="16">
        <f>C73*Podsumowanie!$B$5</f>
        <v/>
      </c>
      <c r="E73" s="31" t="inlineStr"/>
    </row>
    <row r="74">
      <c r="A74" s="5" t="n"/>
      <c r="B74" s="29" t="inlineStr">
        <is>
          <t>Dokumentacja użytkownika / instruktora</t>
        </is>
      </c>
      <c r="C74" s="30" t="n">
        <v>12</v>
      </c>
      <c r="D74" s="16">
        <f>C74*Podsumowanie!$B$5</f>
        <v/>
      </c>
      <c r="E74" s="31" t="inlineStr"/>
    </row>
    <row r="75">
      <c r="A75" s="10" t="inlineStr">
        <is>
          <t>RAZEM moduły (development + testy)</t>
        </is>
      </c>
      <c r="B75" s="12" t="n"/>
      <c r="C75" s="32">
        <f>C3+C11+C17+C23+C30+C37+C44+C49+C54+C59+C64+C69</f>
        <v/>
      </c>
      <c r="D75" s="33">
        <f>D3+D11+D17+D23+D30+D37+D44+D49+D54+D59+D64+D69</f>
        <v/>
      </c>
      <c r="E75" s="12" t="n"/>
    </row>
  </sheetData>
  <mergeCells count="13">
    <mergeCell ref="A30:B30"/>
    <mergeCell ref="A54:B54"/>
    <mergeCell ref="A64:B64"/>
    <mergeCell ref="A59:B59"/>
    <mergeCell ref="A11:B11"/>
    <mergeCell ref="A49:B49"/>
    <mergeCell ref="A37:B37"/>
    <mergeCell ref="A1:E1"/>
    <mergeCell ref="A44:B44"/>
    <mergeCell ref="A17:B17"/>
    <mergeCell ref="A23:B23"/>
    <mergeCell ref="A3:B3"/>
    <mergeCell ref="A69:B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5" customWidth="1" min="5" max="5"/>
    <col width="40" customWidth="1" min="6" max="6"/>
  </cols>
  <sheetData>
    <row r="1" ht="22" customHeight="1">
      <c r="A1" s="25" t="inlineStr">
        <is>
          <t>WARIANT C — ponowne użycie Infirmary Integrated (II Library, Apache 2.0)</t>
        </is>
      </c>
    </row>
    <row r="2" ht="34" customHeight="1">
      <c r="A2" s="11" t="inlineStr">
        <is>
          <t>Moduł</t>
        </is>
      </c>
      <c r="B2" s="11" t="inlineStr">
        <is>
          <t>Godz. własny kod (A)</t>
        </is>
      </c>
      <c r="C2" s="11" t="inlineStr">
        <is>
          <t>Korekta reuse</t>
        </is>
      </c>
      <c r="D2" s="11" t="inlineStr">
        <is>
          <t>Godz. Wariant C</t>
        </is>
      </c>
      <c r="E2" s="11" t="inlineStr">
        <is>
          <t>Koszt (C)</t>
        </is>
      </c>
      <c r="F2" s="11" t="inlineStr">
        <is>
          <t>Uwaga</t>
        </is>
      </c>
    </row>
    <row r="3">
      <c r="A3" s="29" t="inlineStr">
        <is>
          <t>M1 — Architektura i komunikacja P2P</t>
        </is>
      </c>
      <c r="B3" s="15">
        <f>'Wycena szczegółowa'!C3</f>
        <v/>
      </c>
      <c r="C3" s="30" t="n">
        <v>0</v>
      </c>
      <c r="D3" s="15">
        <f>B3+C3</f>
        <v/>
      </c>
      <c r="E3" s="16">
        <f>D3*Podsumowanie!$B$5</f>
        <v/>
      </c>
      <c r="F3" s="31" t="inlineStr"/>
    </row>
    <row r="4">
      <c r="A4" s="29" t="inlineStr">
        <is>
          <t>M2 — Widok Monitora</t>
        </is>
      </c>
      <c r="B4" s="15">
        <f>'Wycena szczegółowa'!C11</f>
        <v/>
      </c>
      <c r="C4" s="34" t="n">
        <v>-40</v>
      </c>
      <c r="D4" s="15">
        <f>B4+C4</f>
        <v/>
      </c>
      <c r="E4" s="16">
        <f>D4*Podsumowanie!$B$5</f>
        <v/>
      </c>
      <c r="F4" s="31" t="inlineStr">
        <is>
          <t>Reuse silnika fal i przebiegów z II Library</t>
        </is>
      </c>
    </row>
    <row r="5">
      <c r="A5" s="29" t="inlineStr">
        <is>
          <t>M3 — Pilot: pulpit instruktora</t>
        </is>
      </c>
      <c r="B5" s="15">
        <f>'Wycena szczegółowa'!C17</f>
        <v/>
      </c>
      <c r="C5" s="30" t="n">
        <v>0</v>
      </c>
      <c r="D5" s="15">
        <f>B5+C5</f>
        <v/>
      </c>
      <c r="E5" s="16">
        <f>D5*Podsumowanie!$B$5</f>
        <v/>
      </c>
      <c r="F5" s="31" t="inlineStr"/>
    </row>
    <row r="6">
      <c r="A6" s="29" t="inlineStr">
        <is>
          <t>M4 — Arytmie i zakłócenia</t>
        </is>
      </c>
      <c r="B6" s="15">
        <f>'Wycena szczegółowa'!C23</f>
        <v/>
      </c>
      <c r="C6" s="34" t="n">
        <v>-60</v>
      </c>
      <c r="D6" s="15">
        <f>B6+C6</f>
        <v/>
      </c>
      <c r="E6" s="16">
        <f>D6*Podsumowanie!$B$5</f>
        <v/>
      </c>
      <c r="F6" s="31" t="inlineStr">
        <is>
          <t>Reuse 30+ rytmów z II Library (największa oszczędność)</t>
        </is>
      </c>
    </row>
    <row r="7">
      <c r="A7" s="29" t="inlineStr">
        <is>
          <t>M5 — System scenariuszy</t>
        </is>
      </c>
      <c r="B7" s="15">
        <f>'Wycena szczegółowa'!C30</f>
        <v/>
      </c>
      <c r="C7" s="34" t="n">
        <v>-20</v>
      </c>
      <c r="D7" s="15">
        <f>B7+C7</f>
        <v/>
      </c>
      <c r="E7" s="16">
        <f>D7*Podsumowanie!$B$5</f>
        <v/>
      </c>
      <c r="F7" s="31" t="inlineStr">
        <is>
          <t>Reuse modelu danych scenariusza</t>
        </is>
      </c>
    </row>
    <row r="8">
      <c r="A8" s="29" t="inlineStr">
        <is>
          <t>M6 — Tryb Defib</t>
        </is>
      </c>
      <c r="B8" s="15">
        <f>'Wycena szczegółowa'!C37</f>
        <v/>
      </c>
      <c r="C8" s="34" t="n">
        <v>-10</v>
      </c>
      <c r="D8" s="15">
        <f>B8+C8</f>
        <v/>
      </c>
      <c r="E8" s="16">
        <f>D8*Podsumowanie!$B$5</f>
        <v/>
      </c>
      <c r="F8" s="31" t="inlineStr">
        <is>
          <t>Reuse logiki defibrylacji</t>
        </is>
      </c>
    </row>
    <row r="9">
      <c r="A9" s="29" t="inlineStr">
        <is>
          <t>M7 — Tryb AED</t>
        </is>
      </c>
      <c r="B9" s="15">
        <f>'Wycena szczegółowa'!C44</f>
        <v/>
      </c>
      <c r="C9" s="34" t="n">
        <v>-8</v>
      </c>
      <c r="D9" s="15">
        <f>B9+C9</f>
        <v/>
      </c>
      <c r="E9" s="16">
        <f>D9*Podsumowanie!$B$5</f>
        <v/>
      </c>
      <c r="F9" s="31" t="inlineStr">
        <is>
          <t>Reuse logiki AED</t>
        </is>
      </c>
    </row>
    <row r="10">
      <c r="A10" s="29" t="inlineStr">
        <is>
          <t>M8 — Kardiowersja zsynchronizowana</t>
        </is>
      </c>
      <c r="B10" s="15">
        <f>'Wycena szczegółowa'!C49</f>
        <v/>
      </c>
      <c r="C10" s="34" t="n">
        <v>-8</v>
      </c>
      <c r="D10" s="15">
        <f>B10+C10</f>
        <v/>
      </c>
      <c r="E10" s="16">
        <f>D10*Podsumowanie!$B$5</f>
        <v/>
      </c>
      <c r="F10" s="31" t="inlineStr">
        <is>
          <t>Reuse logiki kardiowersji</t>
        </is>
      </c>
    </row>
    <row r="11">
      <c r="A11" s="29" t="inlineStr">
        <is>
          <t>M9 — Stymulacja</t>
        </is>
      </c>
      <c r="B11" s="15">
        <f>'Wycena szczegółowa'!C54</f>
        <v/>
      </c>
      <c r="C11" s="34" t="n">
        <v>-10</v>
      </c>
      <c r="D11" s="15">
        <f>B11+C11</f>
        <v/>
      </c>
      <c r="E11" s="16">
        <f>D11*Podsumowanie!$B$5</f>
        <v/>
      </c>
      <c r="F11" s="31" t="inlineStr">
        <is>
          <t>Reuse logiki pacingu</t>
        </is>
      </c>
    </row>
    <row r="12">
      <c r="A12" s="29" t="inlineStr">
        <is>
          <t>M10 — Logika wyładowań i zmiany rytmu</t>
        </is>
      </c>
      <c r="B12" s="15">
        <f>'Wycena szczegółowa'!C59</f>
        <v/>
      </c>
      <c r="C12" s="30" t="n">
        <v>0</v>
      </c>
      <c r="D12" s="15">
        <f>B12+C12</f>
        <v/>
      </c>
      <c r="E12" s="16">
        <f>D12*Podsumowanie!$B$5</f>
        <v/>
      </c>
      <c r="F12" s="31" t="inlineStr"/>
    </row>
    <row r="13">
      <c r="A13" s="29" t="inlineStr">
        <is>
          <t>M11 — Ustawienia</t>
        </is>
      </c>
      <c r="B13" s="15">
        <f>'Wycena szczegółowa'!C64</f>
        <v/>
      </c>
      <c r="C13" s="30" t="n">
        <v>0</v>
      </c>
      <c r="D13" s="15">
        <f>B13+C13</f>
        <v/>
      </c>
      <c r="E13" s="16">
        <f>D13*Podsumowanie!$B$5</f>
        <v/>
      </c>
      <c r="F13" s="31" t="inlineStr"/>
    </row>
    <row r="14">
      <c r="A14" s="29" t="inlineStr">
        <is>
          <t>M12 — Testy, stabilizacja, UX, dystrybucja</t>
        </is>
      </c>
      <c r="B14" s="15">
        <f>'Wycena szczegółowa'!C69</f>
        <v/>
      </c>
      <c r="C14" s="30" t="n">
        <v>0</v>
      </c>
      <c r="D14" s="15">
        <f>B14+C14</f>
        <v/>
      </c>
      <c r="E14" s="16">
        <f>D14*Podsumowanie!$B$5</f>
        <v/>
      </c>
      <c r="F14" s="31" t="inlineStr"/>
    </row>
    <row r="15">
      <c r="A15" s="17" t="inlineStr">
        <is>
          <t>Dodatkowa praca konieczna przy reuse</t>
        </is>
      </c>
    </row>
    <row r="16">
      <c r="A16" s="29" t="inlineStr">
        <is>
          <t>Port II Library do MAUI (usunięcie zależności desktopowych, refaktor)</t>
        </is>
      </c>
      <c r="B16" s="20" t="inlineStr">
        <is>
          <t>—</t>
        </is>
      </c>
      <c r="C16" s="20" t="inlineStr">
        <is>
          <t>—</t>
        </is>
      </c>
      <c r="D16" s="30" t="n">
        <v>40</v>
      </c>
      <c r="E16" s="16">
        <f>D16*Podsumowanie!$B$5</f>
        <v/>
      </c>
      <c r="F16" s="31" t="inlineStr"/>
    </row>
    <row r="17">
      <c r="A17" s="29" t="inlineStr">
        <is>
          <t>Obsługa licencji Apache 2.0 (atrybucja, NOTICE, zgodność)</t>
        </is>
      </c>
      <c r="B17" s="20" t="inlineStr">
        <is>
          <t>—</t>
        </is>
      </c>
      <c r="C17" s="20" t="inlineStr">
        <is>
          <t>—</t>
        </is>
      </c>
      <c r="D17" s="30" t="n">
        <v>4</v>
      </c>
      <c r="E17" s="16">
        <f>D17*Podsumowanie!$B$5</f>
        <v/>
      </c>
      <c r="F17" s="31" t="inlineStr">
        <is>
          <t>Wymóg licencji</t>
        </is>
      </c>
    </row>
    <row r="18">
      <c r="A18" s="10" t="inlineStr">
        <is>
          <t>RAZEM moduły — Wariant C</t>
        </is>
      </c>
      <c r="B18" s="12" t="n"/>
      <c r="C18" s="12" t="n"/>
      <c r="D18" s="32">
        <f>SUM(D3:D17)</f>
        <v/>
      </c>
      <c r="E18" s="33">
        <f>SUM(E3:E17)</f>
        <v/>
      </c>
      <c r="F18" s="12" t="n"/>
    </row>
  </sheetData>
  <mergeCells count="2"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11" customWidth="1" min="3" max="3"/>
    <col width="15" customWidth="1" min="4" max="4"/>
    <col width="34" customWidth="1" min="5" max="5"/>
  </cols>
  <sheetData>
    <row r="1" ht="22" customHeight="1">
      <c r="A1" s="25" t="inlineStr">
        <is>
          <t>OPCJE DODATKOWE — praca poza zakresem podstawowym</t>
        </is>
      </c>
    </row>
    <row r="2" ht="30" customHeight="1">
      <c r="A2" s="11" t="inlineStr">
        <is>
          <t>Opcja / moduł</t>
        </is>
      </c>
      <c r="B2" s="11" t="inlineStr">
        <is>
          <t>Czynność</t>
        </is>
      </c>
      <c r="C2" s="11" t="inlineStr">
        <is>
          <t>Godziny</t>
        </is>
      </c>
      <c r="D2" s="11" t="inlineStr">
        <is>
          <t>Koszt</t>
        </is>
      </c>
      <c r="E2" s="11" t="inlineStr">
        <is>
          <t>Uwagi</t>
        </is>
      </c>
    </row>
    <row r="3">
      <c r="A3" s="17" t="inlineStr">
        <is>
          <t>OPCJA A — Połączenie 1:N (1 Pilot → do 4 Monitorów)</t>
        </is>
      </c>
      <c r="B3" s="35" t="n"/>
      <c r="C3" s="18">
        <f>SUM(C4:C8)</f>
        <v/>
      </c>
      <c r="D3" s="19">
        <f>SUM(D4:D8)</f>
        <v/>
      </c>
      <c r="E3" s="35" t="n"/>
    </row>
    <row r="4">
      <c r="A4" s="5" t="n"/>
      <c r="B4" s="29" t="inlineStr">
        <is>
          <t>Rozszerzenie warstwy synchronizacji na wielu klientów (broadcast, sesje per-urządzenie)</t>
        </is>
      </c>
      <c r="C4" s="30" t="n">
        <v>30</v>
      </c>
      <c r="D4" s="16">
        <f>C4*Podsumowanie!$B$5</f>
        <v/>
      </c>
      <c r="E4" s="31" t="inlineStr"/>
    </row>
    <row r="5">
      <c r="A5" s="5" t="n"/>
      <c r="B5" s="29" t="inlineStr">
        <is>
          <t>Pulpit master: lista klientów, wybór celu sterowania, podgląd wielu Monitorów</t>
        </is>
      </c>
      <c r="C5" s="30" t="n">
        <v>40</v>
      </c>
      <c r="D5" s="16">
        <f>C5*Podsumowanie!$B$5</f>
        <v/>
      </c>
      <c r="E5" s="31" t="inlineStr">
        <is>
          <t>Nowe ekrany Pilota</t>
        </is>
      </c>
    </row>
    <row r="6">
      <c r="A6" s="5" t="n"/>
      <c r="B6" s="29" t="inlineStr">
        <is>
          <t>Zarządzanie sesjami wielu urządzeń (dołączanie / odłączanie / nazwy)</t>
        </is>
      </c>
      <c r="C6" s="30" t="n">
        <v>20</v>
      </c>
      <c r="D6" s="16">
        <f>C6*Podsumowanie!$B$5</f>
        <v/>
      </c>
      <c r="E6" s="31" t="inlineStr"/>
    </row>
    <row r="7">
      <c r="A7" s="5" t="n"/>
      <c r="B7" s="29" t="inlineStr">
        <is>
          <t>Testy z 4+ urządzeniami (stabilność, wydajność P2P)</t>
        </is>
      </c>
      <c r="C7" s="30" t="n">
        <v>24</v>
      </c>
      <c r="D7" s="16">
        <f>C7*Podsumowanie!$B$5</f>
        <v/>
      </c>
      <c r="E7" s="31" t="inlineStr">
        <is>
          <t>Wymaga dodatkowych iPadów</t>
        </is>
      </c>
    </row>
    <row r="8">
      <c r="A8" s="5" t="n"/>
      <c r="B8" s="29" t="inlineStr">
        <is>
          <t>Bufor ryzyka multi-peer (Multipeer przy wielu klientach)</t>
        </is>
      </c>
      <c r="C8" s="30" t="n">
        <v>16</v>
      </c>
      <c r="D8" s="16">
        <f>C8*Podsumowanie!$B$5</f>
        <v/>
      </c>
      <c r="E8" s="31" t="inlineStr">
        <is>
          <t>Ryzyka R1/R6</t>
        </is>
      </c>
    </row>
    <row r="9">
      <c r="A9" s="17" t="inlineStr">
        <is>
          <t>OPCJA B — Pełny model capture/no-capture w Pacingu</t>
        </is>
      </c>
      <c r="B9" s="35" t="n"/>
      <c r="C9" s="18">
        <f>SUM(C10:C10)</f>
        <v/>
      </c>
      <c r="D9" s="19">
        <f>SUM(D10:D10)</f>
        <v/>
      </c>
      <c r="E9" s="35" t="n"/>
    </row>
    <row r="10">
      <c r="A10" s="5" t="n"/>
      <c r="B10" s="29" t="inlineStr">
        <is>
          <t>Zaawansowana logika progu wychwycenia (mA/rate) zamiast modelu uproszczonego</t>
        </is>
      </c>
      <c r="C10" s="30" t="n">
        <v>24</v>
      </c>
      <c r="D10" s="16">
        <f>C10*Podsumowanie!$B$5</f>
        <v/>
      </c>
      <c r="E10" s="31" t="inlineStr">
        <is>
          <t>Alternatywa dla M9</t>
        </is>
      </c>
    </row>
    <row r="12">
      <c r="A12" s="36" t="inlineStr">
        <is>
          <t>OPCJA C — Port na Android (przyszłość, orientacyjnie)</t>
        </is>
      </c>
    </row>
    <row r="13" ht="44" customHeight="1">
      <c r="A13" s="31" t="inlineStr">
        <is>
          <t>Dzięki .NET MAUI i abstrakcji transportu (M1) logika/UI są w dużej mierze współdzielone. Główna praca: natywna warstwa P2P na Androidzie (Nearby Connections zamiast Multipeer), testy na sprzęcie Android, zgodność layoutów. Orientacyjnie 120–180 h. NIE wliczane do sum.</t>
        </is>
      </c>
    </row>
  </sheetData>
  <mergeCells count="5">
    <mergeCell ref="A12:E12"/>
    <mergeCell ref="A1:E1"/>
    <mergeCell ref="A13:E13"/>
    <mergeCell ref="A9:B9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42" customWidth="1" min="4" max="4"/>
  </cols>
  <sheetData>
    <row r="1" ht="22" customHeight="1">
      <c r="A1" s="25" t="inlineStr">
        <is>
          <t>KOSZTY STAŁE — sprzęt, konta, licencje</t>
        </is>
      </c>
    </row>
    <row r="2">
      <c r="A2" s="37" t="inlineStr">
        <is>
          <t>Pozycja</t>
        </is>
      </c>
      <c r="B2" s="37" t="inlineStr">
        <is>
          <t>Ilość</t>
        </is>
      </c>
      <c r="C2" s="37" t="inlineStr">
        <is>
          <t>Koszt (zł)</t>
        </is>
      </c>
      <c r="D2" s="37" t="inlineStr">
        <is>
          <t>Uwaga</t>
        </is>
      </c>
    </row>
    <row r="3">
      <c r="A3" s="29" t="inlineStr">
        <is>
          <t>Mac (host budowania iOS) — WYMAGANY</t>
        </is>
      </c>
      <c r="B3" s="20" t="n">
        <v>1</v>
      </c>
      <c r="C3" s="16" t="n">
        <v>0</v>
      </c>
      <c r="D3" s="31" t="inlineStr">
        <is>
          <t>Klient posiada — 0 zł. Bez Maca: ~2 500–3 500 zł (Mac mini).</t>
        </is>
      </c>
    </row>
    <row r="4">
      <c r="A4" s="29" t="inlineStr">
        <is>
          <t>Apple Developer Program (rocznie)</t>
        </is>
      </c>
      <c r="B4" s="20" t="n">
        <v>1</v>
      </c>
      <c r="C4" s="16">
        <f>ROUND(99*Podsumowanie!$B$8,0)</f>
        <v/>
      </c>
      <c r="D4" s="31" t="inlineStr">
        <is>
          <t>99 USD/rok. Wymagany do TestFlight i podpisywania.</t>
        </is>
      </c>
    </row>
    <row r="5">
      <c r="A5" s="29" t="inlineStr">
        <is>
          <t>iPad (model docelowy) — sprzęt FIZYCZNY</t>
        </is>
      </c>
      <c r="B5" s="20" t="n">
        <v>2</v>
      </c>
      <c r="C5" s="38" t="n">
        <v>5000</v>
      </c>
      <c r="D5" s="31" t="inlineStr">
        <is>
          <t>Klient NIE posiada. ~2 500 zł/szt. Min. 2 do testów P2P.</t>
        </is>
      </c>
    </row>
    <row r="6">
      <c r="A6" s="29" t="inlineStr">
        <is>
          <t>Akcesoria (etui, ładowarki, kable USB-C)</t>
        </is>
      </c>
      <c r="B6" s="20" t="n">
        <v>1</v>
      </c>
      <c r="C6" s="38" t="n">
        <v>300</v>
      </c>
      <c r="D6" s="31" t="inlineStr">
        <is>
          <t>Szacunkowo.</t>
        </is>
      </c>
    </row>
    <row r="7">
      <c r="A7" s="10" t="inlineStr">
        <is>
          <t>RAZEM koszty stałe (wszystkie warianty)</t>
        </is>
      </c>
      <c r="B7" s="12" t="n"/>
      <c r="C7" s="33">
        <f>C3+C4+C5+C6</f>
        <v/>
      </c>
      <c r="D7" s="12" t="n"/>
    </row>
    <row r="8">
      <c r="A8" s="29" t="inlineStr">
        <is>
          <t>Dodatkowe iPady do testów 1:N (opcjonalnie)</t>
        </is>
      </c>
      <c r="B8" s="20" t="n">
        <v>2</v>
      </c>
      <c r="C8" s="38" t="n">
        <v>5000</v>
      </c>
      <c r="D8" s="31" t="inlineStr">
        <is>
          <t>Do rzetelnych testów 1 Pilot → 4 Monitory. Można wypożyczyć — stąd jako opcja, poza sumą.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52" customWidth="1" min="5" max="5"/>
  </cols>
  <sheetData>
    <row r="1" ht="22" customHeight="1">
      <c r="A1" s="25" t="inlineStr">
        <is>
          <t>REJESTR RYZYK I ZAGROŻEŃ</t>
        </is>
      </c>
    </row>
    <row r="2">
      <c r="A2" s="11" t="inlineStr">
        <is>
          <t>ID</t>
        </is>
      </c>
      <c r="B2" s="11" t="inlineStr">
        <is>
          <t>Ryzyko</t>
        </is>
      </c>
      <c r="C2" s="11" t="inlineStr">
        <is>
          <t>Prawdop.</t>
        </is>
      </c>
      <c r="D2" s="11" t="inlineStr">
        <is>
          <t>Wpływ</t>
        </is>
      </c>
      <c r="E2" s="11" t="inlineStr">
        <is>
          <t>Działanie ograniczające (mitygacja)</t>
        </is>
      </c>
    </row>
    <row r="3" ht="34" customHeight="1">
      <c r="A3" s="39" t="inlineStr">
        <is>
          <t>R1</t>
        </is>
      </c>
      <c r="B3" s="29" t="inlineStr">
        <is>
          <t>Multipeer Connectivity w .NET MAUI wymaga własnego bindingu warstwy natywnej</t>
        </is>
      </c>
      <c r="C3" s="40" t="inlineStr">
        <is>
          <t>Wysokie</t>
        </is>
      </c>
      <c r="D3" s="40" t="inlineStr">
        <is>
          <t>Wysoki</t>
        </is>
      </c>
      <c r="E3" s="41" t="inlineStr">
        <is>
          <t>PoC w M1 jako pierwszy krok; plan B: lokalna sieć TCP/UDP. Bufor 15%.</t>
        </is>
      </c>
    </row>
    <row r="4" ht="34" customHeight="1">
      <c r="A4" s="39" t="inlineStr">
        <is>
          <t>R2</t>
        </is>
      </c>
      <c r="B4" s="29" t="inlineStr">
        <is>
          <t>Brak doświadczenia programisty z Apple/iOS (Xcode, podpisywanie, provisioning)</t>
        </is>
      </c>
      <c r="C4" s="40" t="inlineStr">
        <is>
          <t>Wysokie</t>
        </is>
      </c>
      <c r="D4" s="42" t="inlineStr">
        <is>
          <t>Średni</t>
        </is>
      </c>
      <c r="E4" s="41" t="inlineStr">
        <is>
          <t>Pomoc materiałów; TestFlight zamiast App Store ogranicza tarcia.</t>
        </is>
      </c>
    </row>
    <row r="5" ht="34" customHeight="1">
      <c r="A5" s="39" t="inlineStr">
        <is>
          <t>R3</t>
        </is>
      </c>
      <c r="B5" s="29" t="inlineStr">
        <is>
          <t>Wiarygodność wizualna przebiegów EKG/arytmii trudniejsza niż zakładano</t>
        </is>
      </c>
      <c r="C5" s="42" t="inlineStr">
        <is>
          <t>Średnie</t>
        </is>
      </c>
      <c r="D5" s="40" t="inlineStr">
        <is>
          <t>Wysoki</t>
        </is>
      </c>
      <c r="E5" s="41" t="inlineStr">
        <is>
          <t>Najpierw silnik (M2), potem stany (M4); Wariant C mocno to ogranicza (reuse).</t>
        </is>
      </c>
    </row>
    <row r="6" ht="34" customHeight="1">
      <c r="A6" s="39" t="inlineStr">
        <is>
          <t>R4</t>
        </is>
      </c>
      <c r="B6" s="29" t="inlineStr">
        <is>
          <t>Uwagi/odrzucenie Apple (aplikacja „okołomedyczna”)</t>
        </is>
      </c>
      <c r="C6" s="42" t="inlineStr">
        <is>
          <t>Średnie</t>
        </is>
      </c>
      <c r="D6" s="42" t="inlineStr">
        <is>
          <t>Średni</t>
        </is>
      </c>
      <c r="E6" s="41" t="inlineStr">
        <is>
          <t>TestFlight/wewnętrznie; oznaczenie „symulacja edukacyjna, nie wyrób medyczny”.</t>
        </is>
      </c>
    </row>
    <row r="7" ht="34" customHeight="1">
      <c r="A7" s="39" t="inlineStr">
        <is>
          <t>R5</t>
        </is>
      </c>
      <c r="B7" s="29" t="inlineStr">
        <is>
          <t>Stabilność synchronizacji w czasie rzeczywistym (opóźnienia, desync)</t>
        </is>
      </c>
      <c r="C7" s="42" t="inlineStr">
        <is>
          <t>Średnie</t>
        </is>
      </c>
      <c r="D7" s="40" t="inlineStr">
        <is>
          <t>Wysoki</t>
        </is>
      </c>
      <c r="E7" s="41" t="inlineStr">
        <is>
          <t>Prosty, odporny protokół; reconnect; testy na realnym sprzęcie.</t>
        </is>
      </c>
    </row>
    <row r="8" ht="34" customHeight="1">
      <c r="A8" s="39" t="inlineStr">
        <is>
          <t>R6</t>
        </is>
      </c>
      <c r="B8" s="29" t="inlineStr">
        <is>
          <t>Skalowanie 1:N (do 4) — wydajność i stabilność Multipeer</t>
        </is>
      </c>
      <c r="C8" s="42" t="inlineStr">
        <is>
          <t>Średnie</t>
        </is>
      </c>
      <c r="D8" s="42" t="inlineStr">
        <is>
          <t>Średni</t>
        </is>
      </c>
      <c r="E8" s="41" t="inlineStr">
        <is>
          <t>Bufor w Opcji A; testy z 4+ urządzeniami; limit 4 klientów.</t>
        </is>
      </c>
    </row>
    <row r="9" ht="34" customHeight="1">
      <c r="A9" s="39" t="inlineStr">
        <is>
          <t>R7</t>
        </is>
      </c>
      <c r="B9" s="29" t="inlineStr">
        <is>
          <t>Brak fizycznych iPadów = brak realnych testów P2P</t>
        </is>
      </c>
      <c r="C9" s="40" t="inlineStr">
        <is>
          <t>Wysokie</t>
        </is>
      </c>
      <c r="D9" s="40" t="inlineStr">
        <is>
          <t>Wysoki</t>
        </is>
      </c>
      <c r="E9" s="41" t="inlineStr">
        <is>
          <t>Zakup min. 2 iPadów (Koszty stałe) na starcie.</t>
        </is>
      </c>
    </row>
    <row r="10" ht="34" customHeight="1">
      <c r="A10" s="39" t="inlineStr">
        <is>
          <t>R8</t>
        </is>
      </c>
      <c r="B10" s="29" t="inlineStr">
        <is>
          <t>Niedoszacowanie zakresu „pełna wersja, nie MVP”</t>
        </is>
      </c>
      <c r="C10" s="42" t="inlineStr">
        <is>
          <t>Średnie</t>
        </is>
      </c>
      <c r="D10" s="40" t="inlineStr">
        <is>
          <t>Wysoki</t>
        </is>
      </c>
      <c r="E10" s="41" t="inlineStr">
        <is>
          <t>Kamienie milowe; przyrostowe dostarczanie; rezerwa 15%.</t>
        </is>
      </c>
    </row>
    <row r="11" ht="34" customHeight="1">
      <c r="A11" s="39" t="inlineStr">
        <is>
          <t>R9</t>
        </is>
      </c>
      <c r="B11" s="29" t="inlineStr">
        <is>
          <t>Zależność od jednego programisty</t>
        </is>
      </c>
      <c r="C11" s="42" t="inlineStr">
        <is>
          <t>Średnie</t>
        </is>
      </c>
      <c r="D11" s="40" t="inlineStr">
        <is>
          <t>Wysoki</t>
        </is>
      </c>
      <c r="E11" s="41" t="inlineStr">
        <is>
          <t>Dokumentacja na bieżąco; repo pod kontrolą wersji.</t>
        </is>
      </c>
    </row>
    <row r="12" ht="34" customHeight="1">
      <c r="A12" s="39" t="inlineStr">
        <is>
          <t>R10</t>
        </is>
      </c>
      <c r="B12" s="29" t="inlineStr">
        <is>
          <t>Złożoność audio (AED, metronom, alarmy) na iPadOS</t>
        </is>
      </c>
      <c r="C12" s="43" t="inlineStr">
        <is>
          <t>Niskie</t>
        </is>
      </c>
      <c r="D12" s="43" t="inlineStr">
        <is>
          <t>Niski</t>
        </is>
      </c>
      <c r="E12" s="41" t="inlineStr">
        <is>
          <t>Standardowe API audio; wczesny prototyp.</t>
        </is>
      </c>
    </row>
    <row r="13" ht="34" customHeight="1">
      <c r="A13" s="39" t="inlineStr">
        <is>
          <t>R11</t>
        </is>
      </c>
      <c r="B13" s="29" t="inlineStr">
        <is>
          <t>[Wariant C] Zależność od kodu II Library: zrozumienie/utrzymanie cudzego kodu, zgodność z Apache 2.0</t>
        </is>
      </c>
      <c r="C13" s="42" t="inlineStr">
        <is>
          <t>Średnie</t>
        </is>
      </c>
      <c r="D13" s="42" t="inlineStr">
        <is>
          <t>Średni</t>
        </is>
      </c>
      <c r="E13" s="41" t="inlineStr">
        <is>
          <t>Doliczony czas na analizę i port; dołączenie licencji/NOTICE; możliwość fork-a.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2" customHeight="1">
      <c r="A1" s="25" t="inlineStr">
        <is>
          <t>ZAŁOŻENIA I ZAKRES WYCENY</t>
        </is>
      </c>
    </row>
    <row r="3" ht="30" customHeight="1">
      <c r="A3" s="44" t="inlineStr">
        <is>
          <t>1</t>
        </is>
      </c>
      <c r="B3" s="45" t="inlineStr">
        <is>
          <t>Technologia: .NET MAUI (C#), Visual Studio + VS Code. Architektura przygotowana pod przyszły Android.</t>
        </is>
      </c>
    </row>
    <row r="4" ht="30" customHeight="1">
      <c r="A4" s="44" t="inlineStr">
        <is>
          <t>2</t>
        </is>
      </c>
      <c r="B4" s="45" t="inlineStr">
        <is>
          <t>WYCENA NIE OBEJMUJE instalacji środowiska, instalacji narzędzi ani konfiguracji — tylko czas developmentu.</t>
        </is>
      </c>
    </row>
    <row r="5" ht="30" customHeight="1">
      <c r="A5" s="44" t="inlineStr">
        <is>
          <t>3</t>
        </is>
      </c>
      <c r="B5" s="45" t="inlineStr">
        <is>
          <t>Mac jako host budowania iOS jest WYMAGANY (kompilacja i podpisywanie) — klient posiada.</t>
        </is>
      </c>
    </row>
    <row r="6" ht="30" customHeight="1">
      <c r="A6" s="44" t="inlineStr">
        <is>
          <t>4</t>
        </is>
      </c>
      <c r="B6" s="45" t="inlineStr">
        <is>
          <t>Programista: 1 osoba, C#/.NET (web), bez doświadczenia z Apple/iOS.</t>
        </is>
      </c>
    </row>
    <row r="7" ht="30" customHeight="1">
      <c r="A7" s="44" t="inlineStr">
        <is>
          <t>5</t>
        </is>
      </c>
      <c r="B7" s="45" t="inlineStr">
        <is>
          <t>Stawka: 50 zł/h (edytowalna). Wszystkie kwoty = godziny × stawka.</t>
        </is>
      </c>
    </row>
    <row r="8" ht="30" customHeight="1">
      <c r="A8" s="44" t="inlineStr">
        <is>
          <t>6</t>
        </is>
      </c>
      <c r="B8" s="45" t="inlineStr">
        <is>
          <t>Zakres = pełna wersja produktu (nie MVP), dostarczana przyrostowo M1→M12.</t>
        </is>
      </c>
    </row>
    <row r="9" ht="30" customHeight="1">
      <c r="A9" s="44" t="inlineStr">
        <is>
          <t>7</t>
        </is>
      </c>
      <c r="B9" s="45" t="inlineStr">
        <is>
          <t>Komunikacja offline P2P (Multipeer Connectivity lub równoważne); brak internetu/serwera.</t>
        </is>
      </c>
    </row>
    <row r="10" ht="30" customHeight="1">
      <c r="A10" s="44" t="inlineStr">
        <is>
          <t>8</t>
        </is>
      </c>
      <c r="B10" s="45" t="inlineStr">
        <is>
          <t>Role: Pilot (instruktor) steruje; Monitor (kursant) wyświetla i lokalnie przełącza Monitor/Defib/AED.</t>
        </is>
      </c>
    </row>
    <row r="11" ht="30" customHeight="1">
      <c r="A11" s="44" t="inlineStr">
        <is>
          <t>9</t>
        </is>
      </c>
      <c r="B11" s="45" t="inlineStr">
        <is>
          <t>Dystrybucja: TestFlight / wewnętrzna. Apple Developer Program 99 USD/rok.</t>
        </is>
      </c>
    </row>
    <row r="12" ht="30" customHeight="1">
      <c r="A12" s="44" t="inlineStr">
        <is>
          <t>10</t>
        </is>
      </c>
      <c r="B12" s="45" t="inlineStr">
        <is>
          <t>Wariant A = własny kod (clean-room). Wariant B = A + 1:N (do 4). Wariant C = A z reuse II Library.</t>
        </is>
      </c>
    </row>
    <row r="13" ht="30" customHeight="1">
      <c r="A13" s="44" t="inlineStr">
        <is>
          <t>11</t>
        </is>
      </c>
      <c r="B13" s="45" t="inlineStr">
        <is>
          <t>Wariant C: ponowne użycie II Library (Apache 2.0) z atrybucją; UI i komunikacja P2P pisane od zera.</t>
        </is>
      </c>
    </row>
    <row r="14" ht="30" customHeight="1">
      <c r="A14" s="44" t="inlineStr">
        <is>
          <t>12</t>
        </is>
      </c>
      <c r="B14" s="45" t="inlineStr">
        <is>
          <t>Pacing: w zakresie podstawowym model UPROSZCZONY; pełny = Opcja B.</t>
        </is>
      </c>
    </row>
    <row r="15" ht="30" customHeight="1">
      <c r="A15" s="44" t="inlineStr">
        <is>
          <t>13</t>
        </is>
      </c>
      <c r="B15" s="45" t="inlineStr">
        <is>
          <t>Aplikacja wyłącznie edukacyjna/symulacyjna — NIE wyrób medyczny.</t>
        </is>
      </c>
    </row>
    <row r="16" ht="30" customHeight="1">
      <c r="A16" s="44" t="inlineStr">
        <is>
          <t>14</t>
        </is>
      </c>
      <c r="B16" s="45" t="inlineStr">
        <is>
          <t>Android (Opcja C) NIE wliczony do sum — wycena osobno.</t>
        </is>
      </c>
    </row>
    <row r="17" ht="30" customHeight="1">
      <c r="A17" s="44" t="inlineStr">
        <is>
          <t>15</t>
        </is>
      </c>
      <c r="B17" s="45" t="inlineStr">
        <is>
          <t>Godziny szacunkowe; realny czas zależy m.in. od wyniku PoC komunikacji P2P (M1).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2026-06-14T20:26:07Z</dcterms:created>
  <dcterms:modified xsi:type="dcterms:W3CDTF">2026-06-14T20:26:07Z</dcterms:modified>
</cp:coreProperties>
</file>