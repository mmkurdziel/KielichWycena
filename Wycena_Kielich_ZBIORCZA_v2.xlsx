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REPOSITORIES\GitHub\Kielich\Wycena\"/>
    </mc:Choice>
  </mc:AlternateContent>
  <xr:revisionPtr revIDLastSave="0" documentId="13_ncr:1_{B349C2A8-C953-4221-BE4B-D2D9F8179F05}" xr6:coauthVersionLast="47" xr6:coauthVersionMax="47" xr10:uidLastSave="{00000000-0000-0000-0000-000000000000}"/>
  <bookViews>
    <workbookView xWindow="-120" yWindow="-120" windowWidth="29040" windowHeight="15720" firstSheet="1" activeTab="7" xr2:uid="{00000000-000D-0000-FFFF-FFFF00000000}"/>
  </bookViews>
  <sheets>
    <sheet name="Legenda" sheetId="1" r:id="rId1"/>
    <sheet name="Podsumowanie" sheetId="2" r:id="rId2"/>
    <sheet name="V1 — Reuse (1-1)" sheetId="3" r:id="rId3"/>
    <sheet name="V2 — Własny kod" sheetId="4" r:id="rId4"/>
    <sheet name="V3 — Realistyczna" sheetId="5" r:id="rId5"/>
    <sheet name="V4 — Zunifikowany ★" sheetId="6" r:id="rId6"/>
    <sheet name="Opcje dodatkowe" sheetId="7" r:id="rId7"/>
    <sheet name="Koszty stałe" sheetId="8" r:id="rId8"/>
    <sheet name="Ryzyka" sheetId="9" r:id="rId9"/>
  </sheets>
  <definedNames>
    <definedName name="Bufor_proc">Legenda!$C$8</definedName>
    <definedName name="KursUSD">Legenda!$C$9</definedName>
    <definedName name="Stawka">Legenda!$C$7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7" l="1"/>
  <c r="D6" i="7"/>
  <c r="D5" i="7"/>
  <c r="E26" i="6"/>
  <c r="C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D115" i="5"/>
  <c r="C115" i="5"/>
  <c r="B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97" i="5"/>
  <c r="D96" i="5"/>
  <c r="D95" i="5"/>
  <c r="C88" i="5"/>
  <c r="D87" i="5"/>
  <c r="D86" i="5"/>
  <c r="D85" i="5"/>
  <c r="D84" i="5"/>
  <c r="D83" i="5"/>
  <c r="D81" i="5"/>
  <c r="C81" i="5"/>
  <c r="D80" i="5"/>
  <c r="D79" i="5"/>
  <c r="D78" i="5"/>
  <c r="D77" i="5"/>
  <c r="C75" i="5"/>
  <c r="D74" i="5"/>
  <c r="D73" i="5"/>
  <c r="D72" i="5"/>
  <c r="D71" i="5"/>
  <c r="C69" i="5"/>
  <c r="D68" i="5"/>
  <c r="D67" i="5"/>
  <c r="D66" i="5"/>
  <c r="D65" i="5"/>
  <c r="C63" i="5"/>
  <c r="D62" i="5"/>
  <c r="D61" i="5"/>
  <c r="D60" i="5"/>
  <c r="D59" i="5"/>
  <c r="C57" i="5"/>
  <c r="D56" i="5"/>
  <c r="D55" i="5"/>
  <c r="D54" i="5"/>
  <c r="D53" i="5"/>
  <c r="C51" i="5"/>
  <c r="D50" i="5"/>
  <c r="D49" i="5"/>
  <c r="D48" i="5"/>
  <c r="D47" i="5"/>
  <c r="D46" i="5"/>
  <c r="D45" i="5"/>
  <c r="C43" i="5"/>
  <c r="D42" i="5"/>
  <c r="D41" i="5"/>
  <c r="D40" i="5"/>
  <c r="D39" i="5"/>
  <c r="D38" i="5"/>
  <c r="D37" i="5"/>
  <c r="C35" i="5"/>
  <c r="D34" i="5"/>
  <c r="D33" i="5"/>
  <c r="D32" i="5"/>
  <c r="D31" i="5"/>
  <c r="D30" i="5"/>
  <c r="D29" i="5"/>
  <c r="C27" i="5"/>
  <c r="D26" i="5"/>
  <c r="D25" i="5"/>
  <c r="D24" i="5"/>
  <c r="D23" i="5"/>
  <c r="D22" i="5"/>
  <c r="C20" i="5"/>
  <c r="D19" i="5"/>
  <c r="D18" i="5"/>
  <c r="D17" i="5"/>
  <c r="D16" i="5"/>
  <c r="D15" i="5"/>
  <c r="C13" i="5"/>
  <c r="D12" i="5"/>
  <c r="D11" i="5"/>
  <c r="D10" i="5"/>
  <c r="D9" i="5"/>
  <c r="D8" i="5"/>
  <c r="D7" i="5"/>
  <c r="D6" i="5"/>
  <c r="D45" i="4"/>
  <c r="D44" i="4"/>
  <c r="D43" i="4"/>
  <c r="D42" i="4"/>
  <c r="D41" i="4"/>
  <c r="D40" i="4"/>
  <c r="D39" i="4"/>
  <c r="D38" i="4"/>
  <c r="D37" i="4"/>
  <c r="D36" i="4"/>
  <c r="E32" i="4"/>
  <c r="E31" i="4"/>
  <c r="E30" i="4"/>
  <c r="E26" i="4"/>
  <c r="E25" i="4"/>
  <c r="E24" i="4"/>
  <c r="E23" i="4"/>
  <c r="E22" i="4"/>
  <c r="E21" i="4"/>
  <c r="D17" i="4"/>
  <c r="C17" i="4"/>
  <c r="F16" i="4"/>
  <c r="E16" i="4"/>
  <c r="F15" i="4"/>
  <c r="E15" i="4"/>
  <c r="F14" i="4"/>
  <c r="E14" i="4"/>
  <c r="F13" i="4"/>
  <c r="E13" i="4"/>
  <c r="F12" i="4"/>
  <c r="E12" i="4"/>
  <c r="F11" i="4"/>
  <c r="E11" i="4"/>
  <c r="F10" i="4"/>
  <c r="E10" i="4"/>
  <c r="F9" i="4"/>
  <c r="E9" i="4"/>
  <c r="F8" i="4"/>
  <c r="E8" i="4"/>
  <c r="F7" i="4"/>
  <c r="E7" i="4"/>
  <c r="F6" i="4"/>
  <c r="E6" i="4"/>
  <c r="D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D75" i="5" l="1"/>
  <c r="D43" i="5"/>
  <c r="D35" i="5"/>
  <c r="D27" i="5"/>
  <c r="D20" i="5"/>
  <c r="F42" i="4"/>
  <c r="D13" i="5"/>
  <c r="F17" i="4"/>
  <c r="E17" i="4"/>
  <c r="E18" i="3"/>
  <c r="F44" i="4"/>
  <c r="F39" i="4"/>
  <c r="F37" i="4"/>
  <c r="F36" i="4"/>
  <c r="E5" i="7"/>
  <c r="C89" i="5"/>
  <c r="D63" i="5"/>
  <c r="D57" i="5"/>
  <c r="D51" i="5"/>
  <c r="F38" i="4"/>
  <c r="E6" i="7"/>
  <c r="E19" i="6"/>
  <c r="D88" i="5"/>
  <c r="D69" i="5"/>
  <c r="F45" i="4"/>
  <c r="F43" i="4"/>
  <c r="F41" i="4"/>
  <c r="F40" i="4"/>
  <c r="E29" i="6"/>
  <c r="C90" i="5" l="1"/>
  <c r="D90" i="5" s="1"/>
  <c r="F19" i="6"/>
  <c r="E20" i="6"/>
  <c r="F20" i="6" s="1"/>
  <c r="E21" i="6"/>
  <c r="F21" i="6" s="1"/>
  <c r="E30" i="6" s="1"/>
  <c r="D89" i="5"/>
  <c r="C91" i="5" l="1"/>
  <c r="D91" i="5"/>
</calcChain>
</file>

<file path=xl/sharedStrings.xml><?xml version="1.0" encoding="utf-8"?>
<sst xmlns="http://schemas.openxmlformats.org/spreadsheetml/2006/main" count="726" uniqueCount="540">
  <si>
    <t>WYCENA APLIKACJI "KIELICH" — symulator monitora pacjenta (iPad · .NET MAUI)</t>
  </si>
  <si>
    <t>Zbiorcze zestawienie wariantów wyceny · aplikacja szkoleniowa (edukacyjna, NIE wyrób medyczny) · Pilot ↔ Monitor · offline P2P</t>
  </si>
  <si>
    <t>Data wyceny: 2026-06-15   ·   Wszystkie kwoty = Godziny × Stawka (parametry edytowalne poniżej)</t>
  </si>
  <si>
    <t>PARAMETRY WYCENY (edytowalne — zmiana automatycznie przelicza wszystkie arkusze)</t>
  </si>
  <si>
    <t>Parametr</t>
  </si>
  <si>
    <t>Wartość</t>
  </si>
  <si>
    <t>Opis</t>
  </si>
  <si>
    <t>Stawka godzinowa (orientacyjna)</t>
  </si>
  <si>
    <t>Bazowa, orientacyjna stawka rozliczeniowa. Edytuj tę komórkę, aby przeliczyć całą wycenę.  [PLN/h]</t>
  </si>
  <si>
    <t>Bufor ryzyka / rezerwa</t>
  </si>
  <si>
    <t>15% od sumy godzin modułów (nieprzewidziane, iteracje, ryzyka techniczne).  [%]</t>
  </si>
  <si>
    <t>Kurs USD → PLN</t>
  </si>
  <si>
    <t>Do przeliczenia kosztu Apple Developer Program (99 USD/rok).  [USD/PLN]</t>
  </si>
  <si>
    <t>LEGENDA WARIANTÓW WYCENY</t>
  </si>
  <si>
    <t>Wariant (arkusz)</t>
  </si>
  <si>
    <t>Krótko</t>
  </si>
  <si>
    <t>Charakterystyka</t>
  </si>
  <si>
    <t>V1 — Reuse (1:1)</t>
  </si>
  <si>
    <t>reuse, bez bufora</t>
  </si>
  <si>
    <t>Ponowne użycie biblioteki Infirmary Integrated. Najtańszy, najbardziej optymistyczny. Bez rezerwy ryzyka — łatwo przekroczyć budżet.</t>
  </si>
  <si>
    <t>V2 — Własny kod</t>
  </si>
  <si>
    <t>od zera, bez bufora</t>
  </si>
  <si>
    <t>V3 — Realistyczna (A/B/C)</t>
  </si>
  <si>
    <t>własny + bufor</t>
  </si>
  <si>
    <t>Pełny zakres ze szczegółowym rozbiciem na czynności. Bufor ryzyka 15%. A=podstawowy, B=+1:N, C=+reuse.</t>
  </si>
  <si>
    <t>V4 — Zunifikowany ★</t>
  </si>
  <si>
    <t>reuse + bufor + sprzęt</t>
  </si>
  <si>
    <t>REKOMENDOWANA oferta: zakres V3 + oszczędność reuse + bufor ryzyka + koszty sprzętu. Pełna, realistyczna cena.</t>
  </si>
  <si>
    <t>SŁOWNIK MODUŁÓW (M1–M12) — kolejność realizacji</t>
  </si>
  <si>
    <t>Moduł</t>
  </si>
  <si>
    <t>Nazwa</t>
  </si>
  <si>
    <t>Zakres</t>
  </si>
  <si>
    <t>M1</t>
  </si>
  <si>
    <t>Architektura i komunikacja P2P</t>
  </si>
  <si>
    <t>Warstwy/MVVM, abstrakcja transportu, PoC Multipeer Connectivity, synchronizacja stanu, reconnect.</t>
  </si>
  <si>
    <t>M2</t>
  </si>
  <si>
    <t>Widok Monitora (przebiegi)</t>
  </si>
  <si>
    <t>Silnik renderowania przebiegów, EKG/SpO₂/BP/CVP/PAP/EtCO₂, kolumna parametrów liczbowych.</t>
  </si>
  <si>
    <t>M3</t>
  </si>
  <si>
    <t>Pilot: pulpit instruktora</t>
  </si>
  <si>
    <t>Layout Pilota, ręczna zmiana parametrów, wybór rytmów/zakłóceń, integracja synchronizacji.</t>
  </si>
  <si>
    <t>M4</t>
  </si>
  <si>
    <t>Arytmie i zakłócenia</t>
  </si>
  <si>
    <t>17 stanów EKG + EtCO₂/PAP/CVP/arterial, mechanizm przełączania, testy wiarygodności wizualnej.</t>
  </si>
  <si>
    <t>M5</t>
  </si>
  <si>
    <t>System scenariuszy</t>
  </si>
  <si>
    <t>Model danych, zapis lokalny, CRUD, edytor, szybkie przełączanie w trakcie szkolenia.</t>
  </si>
  <si>
    <t>M6</t>
  </si>
  <si>
    <t>Tryb Defib</t>
  </si>
  <si>
    <t>Defibrylacja: panel POWER/ENERGY/CHARGE/SHOCK, wybór energii, efekty, integracja z logiką rytmu.</t>
  </si>
  <si>
    <t>M7</t>
  </si>
  <si>
    <t>Tryb AED</t>
  </si>
  <si>
    <t>Flow analiza→ładowanie→shock, komunikaty głosowe, integracja zmiany rytmu.</t>
  </si>
  <si>
    <t>M8</t>
  </si>
  <si>
    <t>Kardiowersja zsynchronizowana</t>
  </si>
  <si>
    <t>Tryb SYNC, marker R-wave, ładowanie/wyładowanie zsynchronizowane.</t>
  </si>
  <si>
    <t>M9</t>
  </si>
  <si>
    <t>Stymulacja (Pacing)</t>
  </si>
  <si>
    <t>Rate/output/mA, wizualizacja pobudzeń, model capture/no-capture (uproszczony; pełny = Opcja B).</t>
  </si>
  <si>
    <t>M10</t>
  </si>
  <si>
    <t>Logika wyładowań i zmiany rytmu</t>
  </si>
  <si>
    <t>Silnik reguł (po N wyładowaniach → rytm), konfiguracja w Pilocie, wspólne dla Defib/AED.</t>
  </si>
  <si>
    <t>M11</t>
  </si>
  <si>
    <t>Ustawienia</t>
  </si>
  <si>
    <t>Aplikacja, audio, metronom (RKO), domyślne trybów terapii.</t>
  </si>
  <si>
    <t>M12</t>
  </si>
  <si>
    <t>Testy, stabilizacja, dystrybucja</t>
  </si>
  <si>
    <t>Testy e2e na 2 iPadach, przypadki brzegowe, UX, TestFlight, dokumentacja.</t>
  </si>
  <si>
    <t>SŁOWNIK POJĘĆ — medycznych, symulatora i technicznych</t>
  </si>
  <si>
    <t>Pojęcie / zwrot</t>
  </si>
  <si>
    <t>Wyjaśnienie</t>
  </si>
  <si>
    <t>Warianty wyceny</t>
  </si>
  <si>
    <t>Wariant „własny” (clean-room)</t>
  </si>
  <si>
    <t>Cały kod aplikacji — w tym silnik fal i fizjologia — pisany od zera, bez gotowej biblioteki. Większy nakład i ryzyko, ale pełna kontrola i brak zależności licencyjnych.</t>
  </si>
  <si>
    <t>Wariant „reuse”</t>
  </si>
  <si>
    <t>Ponowne użycie open-source’owej biblioteki Infirmary Integrated (Apache 2.0) dla najtrudniejszych części (rytmy, fale, fizjologia). Taniej i szybciej; wymaga atrybucji licencyjnej.</t>
  </si>
  <si>
    <t>„prosty” vs „pełny” (w wariancie własnym)</t>
  </si>
  <si>
    <t>Nie różnią się zakresem funkcji, tylko poziomem zaawansowania 3 modułów (przebiegi, fizjologia, pacing). „Prosty” = uproszczone kształty fal i brak korelacji parametrów (taniej, mniej wiarygodne). „Pełny” = matematyczne generatory fal i wzajemnie powiązana fizjologia (drożej, realistyczniej).</t>
  </si>
  <si>
    <t>Stymulacja serca (pacing)</t>
  </si>
  <si>
    <t>Pacing (stymulacja)</t>
  </si>
  <si>
    <t>Tryb urządzenia wysyłający rytmiczne impulsy elektryczne, by wymusić skurcze serca przy zbyt wolnym rytmie (bradykardia, blok). Instruktor ustawia częstość i siłę impulsu.</t>
  </si>
  <si>
    <t>rate</t>
  </si>
  <si>
    <t>Częstość stymulacji — ile impulsów na minutę wysyła stymulator.</t>
  </si>
  <si>
    <t>output / mA</t>
  </si>
  <si>
    <t>Siła (natężenie) impulsu w miliamperach — decyduje, czy serce odpowie na stymulację.</t>
  </si>
  <si>
    <t>Spike (impuls stymulacji)</t>
  </si>
  <si>
    <t>Cienka, pionowa kreska na zapisie EKG oznaczająca moment, w którym stymulator wysłał impuls elektryczny.</t>
  </si>
  <si>
    <t>Wizualizacja spikes</t>
  </si>
  <si>
    <t>Rysowanie tych pików na przebiegu EKG we właściwym tempie — kursant widzi na monitorze, że stymulator pracuje.</t>
  </si>
  <si>
    <t>Capture (wychwycenie) / no-capture</t>
  </si>
  <si>
    <t>Capture = po impulsie stymulatora serce faktycznie odpowiada skurczem (na EKG pojawia się pobudzenie). No-capture = jest spike, ale serce nie reaguje (np. za mały prąd) — stymulacja nieskuteczna.</t>
  </si>
  <si>
    <t>Przełącznik capture</t>
  </si>
  <si>
    <t>W wersji uproszczonej: ręczny przełącznik dla instruktora „pokaż wychwycenie / brak wychwycenia”. W wersji pełnej (Opcja B) aplikacja sama wylicza wychwycenie z progu (ustawione mA vs próg pobudzenia).</t>
  </si>
  <si>
    <t>Terapie elektryczne</t>
  </si>
  <si>
    <t>Defibrylacja</t>
  </si>
  <si>
    <t>Wyładowanie elektryczne (niezsynchronizowane) przerywające groźne arytmie (VF, VT bez tętna). Panel: POWER, ENERGY, CHARGE, SHOCK, DISARM; energia 10–360 J.</t>
  </si>
  <si>
    <t>Kardiowersja zsynchronizowana (tryb SYNC)</t>
  </si>
  <si>
    <t>Wyładowanie zsynchronizowane z załamkiem R serca, stosowane w arytmiach z tętnem, by nie trafić w „fazę wrażliwą” cyklu serca.</t>
  </si>
  <si>
    <t>Marker R-wave</t>
  </si>
  <si>
    <t>Znacznik na EKG wskazujący załamek R (szczyt zespołu QRS) — punkt, z którym synchronizuje się wyładowanie w trybie SYNC.</t>
  </si>
  <si>
    <t>AED</t>
  </si>
  <si>
    <t>Automatyczny defibrylator zewnętrzny — prowadzi ratownika krok po kroku: analiza rytmu → „shock advised / no shock” → ładowanie → wyładowanie, z komunikatami głosowymi.</t>
  </si>
  <si>
    <t>Logika wyładowań</t>
  </si>
  <si>
    <t>Konfigurowalne reguły symulatora: „po N wyładowaniach zmień rytm na X” — pozwala instruktorowi budować scenariusze reakcji pacjenta.</t>
  </si>
  <si>
    <t>Sygnały i parametry monitora</t>
  </si>
  <si>
    <t>EKG (ECG)</t>
  </si>
  <si>
    <t>Zapis czynności elektrycznej serca — podstawowy przebieg na monitorze.</t>
  </si>
  <si>
    <t>Arytmie / rytmy (17 stanów)</t>
  </si>
  <si>
    <t>Nieprawidłowe rytmy serca odwzorowane w aplikacji: m.in. bloki, AF (migotanie przedsionków), flutter, junctional, LBBB/RBBB (bloki odnóg pęczka Hisa), ST elevation, SVT, Torsades, VF (migotanie komór), VT (częstoskurcz komorowy), Noise (zakłócenia).</t>
  </si>
  <si>
    <t>HR</t>
  </si>
  <si>
    <t>Częstość akcji serca (uderzenia na minutę).</t>
  </si>
  <si>
    <t>SpO₂ / pleth</t>
  </si>
  <si>
    <t>SpO₂ = wysycenie krwi tlenem (%); pleth = krzywa pletyzmograficzna z pulsoksymetru.</t>
  </si>
  <si>
    <t>BP (ciśnienie tętnicze)</t>
  </si>
  <si>
    <t>Krzywa i wartości ciśnienia tętniczego krwi.</t>
  </si>
  <si>
    <t>CVP</t>
  </si>
  <si>
    <t>Ośrodkowe ciśnienie żylne.</t>
  </si>
  <si>
    <t>PAP</t>
  </si>
  <si>
    <t>Ciśnienie w tętnicy płucnej.</t>
  </si>
  <si>
    <t>EtCO₂ (kapnografia)</t>
  </si>
  <si>
    <t>Stężenie dwutlenku węgla w wydychanym powietrzu — krzywa oddechowa.</t>
  </si>
  <si>
    <t>RR</t>
  </si>
  <si>
    <t>Częstość oddechów (oddechy na minutę).</t>
  </si>
  <si>
    <t>Metronom (RKO)</t>
  </si>
  <si>
    <t>Dźwiękowy/wizualny wskaźnik tempa uciśnięć klatki piersiowej podczas resuscytacji krążeniowo-oddechowej.</t>
  </si>
  <si>
    <t>Pojęcia techniczne</t>
  </si>
  <si>
    <t>Pilot ↔ Monitor</t>
  </si>
  <si>
    <t>Dwie role aplikacji: Pilot (urządzenie instruktora) steruje; Monitor (urządzenie kursanta) wyświetla obraz monitora pacjenta.</t>
  </si>
  <si>
    <t>P2P (peer-to-peer)</t>
  </si>
  <si>
    <t>Bezpośrednie połączenie urządzeń bez internetu/serwera — działa offline w sali szkoleniowej.</t>
  </si>
  <si>
    <t>Multipeer Connectivity</t>
  </si>
  <si>
    <t>Technologia Apple do łączności P2P po Wi-Fi/Bluetooth między urządzeniami iOS.</t>
  </si>
  <si>
    <t>1:1 vs 1:N</t>
  </si>
  <si>
    <t>1:1 = jeden Pilot steruje jednym Monitorem. 1:N = jeden Pilot steruje wieloma Monitorami (do 4).</t>
  </si>
  <si>
    <t>broadcast</t>
  </si>
  <si>
    <t>Wysyłka tych samych parametrów jednocześnie do wszystkich podłączonych Monitorów (tryb 1:N).</t>
  </si>
  <si>
    <t>.NET MAUI</t>
  </si>
  <si>
    <t>Wieloplatformowy framework C# (iOS/Android/desktop z jednego kodu) — technologia, w której pisana jest aplikacja.</t>
  </si>
  <si>
    <t>SkiaSharp</t>
  </si>
  <si>
    <t>Biblioteka grafiki 2D używana do rysowania przebiegów/fal na ekranie.</t>
  </si>
  <si>
    <t>TestFlight</t>
  </si>
  <si>
    <t>Usługa Apple do dystrybucji aplikacji testowej na wybrane urządzenia, bez publikacji w App Store.</t>
  </si>
  <si>
    <t>Infirmary Integrated (reuse)</t>
  </si>
  <si>
    <t>Otwarta (Apache 2.0) biblioteka symulatora pacjenta, z której można ponownie użyć rytmów, fal i fizjologii.</t>
  </si>
  <si>
    <t>OZNACZENIA KOLORÓW</t>
  </si>
  <si>
    <t>Wiersze RAZEM / SUMA / parametry edytowalne</t>
  </si>
  <si>
    <t>Wartości rekomendowane / sumy modułów</t>
  </si>
  <si>
    <t>Wiersze pomocnicze, korekty, opcje</t>
  </si>
  <si>
    <t>Nagłówki kolumn (biały tekst)</t>
  </si>
  <si>
    <t>Nagłówki sekcji (biały tekst)</t>
  </si>
  <si>
    <t>ZAŁOŻENIA I UWAGI</t>
  </si>
  <si>
    <t>• Technologia: .NET MAUI (C#), Visual Studio / VS Code, SkiaSharp, Multipeer Connectivity, SQLite. Architektura przygotowana pod przyszły Android.</t>
  </si>
  <si>
    <t>• Reuse: Infirmary Integrated (Apache 2.0) — wymagana atrybucja i plik NOTICE; UI i komunikacja P2P pisane od zera.</t>
  </si>
  <si>
    <t>• Mac jako host budowania iOS jest WYMAGANY (kompilacja i podpisywanie). Założono, że klient posiada Maca (0 PLN).</t>
  </si>
  <si>
    <t>• Fizyczne iPady wymagane TYLKO do testów komunikacji P2P (Wi-Fi/Multipeer). Emulator Xcode wystarcza do reszty developmentu.</t>
  </si>
  <si>
    <t>• Dystrybucja: TestFlight / wewnętrzna. Apple Developer Program 99 USD/rok.</t>
  </si>
  <si>
    <t>• Bufor ryzyka liczony od godzin modułów danego wariantu. Koszty stałe (sprzęt/konta) identyczne we wszystkich wariantach.</t>
  </si>
  <si>
    <t>• Programista: 1 osoba, C#/.NET, bez doświadczenia z Apple/iOS — stąd istotny bufor ryzyka w wariantach V3/V4.</t>
  </si>
  <si>
    <t>• Wycena NIE obejmuje instalacji środowiska/narzędzi — wyłącznie czas developmentu. Godziny szacunkowe.</t>
  </si>
  <si>
    <t>• Opcje 1:N, pełny Pacing i port Android są poza sumami głównymi — patrz arkusz 'Opcje dodatkowe'.</t>
  </si>
  <si>
    <t>PODSUMOWANIE — porównanie wszystkich wariantów wyceny</t>
  </si>
  <si>
    <t>Stawka i bufor ryzyka pobierane z arkusza 'Legenda'. Wartości godzinowe to dane wejściowe; kwoty liczone formułami.</t>
  </si>
  <si>
    <t>Pozycja</t>
  </si>
  <si>
    <t>V1
reuse</t>
  </si>
  <si>
    <t>V2-A
własny prosty</t>
  </si>
  <si>
    <t>V2-D
własny pełny</t>
  </si>
  <si>
    <t>V3-A
własny+buf</t>
  </si>
  <si>
    <t>V3-B
+1:N</t>
  </si>
  <si>
    <t>V3-C
reuse+buf</t>
  </si>
  <si>
    <t>V4 ★
zunifikowany</t>
  </si>
  <si>
    <t>Godziny modułów (development)</t>
  </si>
  <si>
    <t>Bufor ryzyka (+15%)</t>
  </si>
  <si>
    <t>RAZEM godziny</t>
  </si>
  <si>
    <t>Koszt robocizny (PLN)</t>
  </si>
  <si>
    <t>Koszty stałe (sprzęt/Apple)</t>
  </si>
  <si>
    <t>SUMA CAŁKOWITA (PLN)</t>
  </si>
  <si>
    <t>Cecha wariantu</t>
  </si>
  <si>
    <t>V1</t>
  </si>
  <si>
    <t>V2-A</t>
  </si>
  <si>
    <t>V2-D</t>
  </si>
  <si>
    <t>V3-A</t>
  </si>
  <si>
    <t>V3-B</t>
  </si>
  <si>
    <t>V3-C</t>
  </si>
  <si>
    <t>V4 ★</t>
  </si>
  <si>
    <t>Reuse Infirmary Integrated</t>
  </si>
  <si>
    <t>TAK</t>
  </si>
  <si>
    <t>nie</t>
  </si>
  <si>
    <t>Bufor ryzyka (15%)</t>
  </si>
  <si>
    <t>Pełny zakres szczegółowy</t>
  </si>
  <si>
    <t>Połączenie 1:N (do 4)</t>
  </si>
  <si>
    <t>+16h</t>
  </si>
  <si>
    <t>+20h</t>
  </si>
  <si>
    <t>+35h</t>
  </si>
  <si>
    <t>opcja</t>
  </si>
  <si>
    <t>wliczone</t>
  </si>
  <si>
    <t>opcja A</t>
  </si>
  <si>
    <t>Koszty sprzętu w SUMIE</t>
  </si>
  <si>
    <t>Port Android (orient.)</t>
  </si>
  <si>
    <t>+2000</t>
  </si>
  <si>
    <t>brak</t>
  </si>
  <si>
    <t>~6000</t>
  </si>
  <si>
    <t>~5500</t>
  </si>
  <si>
    <t>★ REKOMENDACJA: Wariant V4 — Zunifikowany (948 h · 53 101 PLN). Łączy szczegółowy zakres, oszczędność reuse, bufor ryzyka i koszty sprzętu — pełna, realistyczna oferta.</t>
  </si>
  <si>
    <t>WYCENA V1 — Reuse Infirmary Integrated (1 Pilot : 1 Monitor)</t>
  </si>
  <si>
    <t>Ponowne użycie biblioteki open-source · bez bufora ryzyka · najbardziej optymistyczny wariant</t>
  </si>
  <si>
    <t>Nr</t>
  </si>
  <si>
    <t>Zakres / zadania</t>
  </si>
  <si>
    <t>Godziny</t>
  </si>
  <si>
    <t>Koszt (PLN)</t>
  </si>
  <si>
    <t>Uwagi</t>
  </si>
  <si>
    <t>M0</t>
  </si>
  <si>
    <t>Setup</t>
  </si>
  <si>
    <t>Xcode, MAUI iOS, certyfikaty, architektura, nauka MAUI</t>
  </si>
  <si>
    <t>P2P 1:1</t>
  </si>
  <si>
    <t>Multipeer Connectivity binding, auto-discovery, sync, reconnect</t>
  </si>
  <si>
    <t>Ryzyko: binding MAUI↔Apple API</t>
  </si>
  <si>
    <t>Przebiegi</t>
  </si>
  <si>
    <t>Port waveformów z Infirmary Integrated (SkiaSharp/MAUI)</t>
  </si>
  <si>
    <t>Reuse open-source C#</t>
  </si>
  <si>
    <t>Fizjologia</t>
  </si>
  <si>
    <t>Port Physiology.cs + Rhythms.cs, 17 rytmów, stany zakłóceń</t>
  </si>
  <si>
    <t>Monitor UI</t>
  </si>
  <si>
    <t>Ciemny ekran, przebiegi + kolumna numeryczna, przełączanie widoków</t>
  </si>
  <si>
    <t>Pilot UI</t>
  </si>
  <si>
    <t>Panel sterowania, parametry, rytmy, scenariusze, status</t>
  </si>
  <si>
    <t>Scenariusze</t>
  </si>
  <si>
    <t>CRUD, SQLite, edytor, przełączanie w trakcie szkolenia</t>
  </si>
  <si>
    <t>Adaptacja Scenario.cs</t>
  </si>
  <si>
    <t>Defib</t>
  </si>
  <si>
    <t>Defibrylacja + kardiowersja zsynchronizowana + pacing</t>
  </si>
  <si>
    <t>Flow Analyze→Charge→Shock, efekty audio/wizualne</t>
  </si>
  <si>
    <t>Zmiana rytmu po N wyładowaniach, łańcuchowanie reguł</t>
  </si>
  <si>
    <t>Audio</t>
  </si>
  <si>
    <t>Port Audio.cs, beep HR, alarm, dźwięk wyładowania, metronom</t>
  </si>
  <si>
    <t>Ogólne, audio, metronom, domyślne Defib/AED/pacing</t>
  </si>
  <si>
    <t>Testy</t>
  </si>
  <si>
    <t>Emulator + fizyczne urządzenia P2P, optymalizacja, polish</t>
  </si>
  <si>
    <t>⚠ Wymaga 2 fizycznych iPadów</t>
  </si>
  <si>
    <t>SUMA ROBOCIZNA (moduły)</t>
  </si>
  <si>
    <t>Oszczędność dzięki reuse II Library: ~108 h (~5 400 PLN). Moduły z reuse: Physiology.cs, Rhythms.cs, Waveform.*.cs, Scenario.cs, Audio.cs.</t>
  </si>
  <si>
    <t>Wariant 1:N (do wielu monitorów): +16 h w module M1 (P2P 1:wielu) → razem 328 h.</t>
  </si>
  <si>
    <t>Koszty stałe (poza robocizną): Mac mini 2 500 + 2× iPad 4 400 + Apple Dev 400 = 7 300 PLN. Port Android: +~2 000 PLN.</t>
  </si>
  <si>
    <t>WYCENA V2 — Własny kod (clean-room, bez reuse)</t>
  </si>
  <si>
    <t>Wszystkie algorytmy pisane od zera · bez bufora ryzyka · warianty A–D (prosty→pełny) · sterowanie 1:N (Opcje A/B/C)</t>
  </si>
  <si>
    <t>MODUŁY STAŁE — niezależne od wariantu</t>
  </si>
  <si>
    <t>Godz. 1:1</t>
  </si>
  <si>
    <t>Godz. 1:wielu</t>
  </si>
  <si>
    <t>Koszt 1:1 (PLN)</t>
  </si>
  <si>
    <t>Koszt 1:wielu (PLN)</t>
  </si>
  <si>
    <t>Setup (Xcode, MAUI, certyfikaty, architektura)</t>
  </si>
  <si>
    <t>P2P (Multipeer Connectivity binding)</t>
  </si>
  <si>
    <t>+20h dla 1:wielu (multi-peer broadcast)</t>
  </si>
  <si>
    <t>Scenariusze (SQLite, CRUD, edytor)</t>
  </si>
  <si>
    <t>Defib baza (defibrylacja + kardiowersja)</t>
  </si>
  <si>
    <t>Audio (od zera)</t>
  </si>
  <si>
    <t>SUMA moduły stałe</t>
  </si>
  <si>
    <t>MODUŁY ZMIENNE — zależne od wariantu (wybierz wersję)</t>
  </si>
  <si>
    <t>Wersja</t>
  </si>
  <si>
    <t>—</t>
  </si>
  <si>
    <t>Prosta (lookup table, uproszczone kształty)</t>
  </si>
  <si>
    <t>Złożona (matematyczne generatory, wiarygodne)</t>
  </si>
  <si>
    <t>Fizjologia + arytmie</t>
  </si>
  <si>
    <t>Prosta (17 rytmów, bez korelacji)</t>
  </si>
  <si>
    <t>Złożona (+ silnik korelacji, event-driven)</t>
  </si>
  <si>
    <t>Pacing</t>
  </si>
  <si>
    <t>Uproszczony (UI + spikes + przełącznik capture)</t>
  </si>
  <si>
    <t>Pełny (logika capture, fizjologiczna odpowiedź)</t>
  </si>
  <si>
    <t>EKRAN ZARZĄDZANIA URZĄDZENIAMI — tylko wersja 1:wielu</t>
  </si>
  <si>
    <t>Opcja</t>
  </si>
  <si>
    <t>Opcja A</t>
  </si>
  <si>
    <t>broadcast — lista urządzeń + te same parametry do wszystkich</t>
  </si>
  <si>
    <t>Opcja B</t>
  </si>
  <si>
    <t>indywidualne — niezależne sterowanie każdym Monitorem</t>
  </si>
  <si>
    <t>Opcja C</t>
  </si>
  <si>
    <t>broadcast + override — domyślnie broadcast, możliwość nadpisania</t>
  </si>
  <si>
    <t>PODSUMOWANIE WARIANTÓW (robocizna, bez sprzętu)</t>
  </si>
  <si>
    <t>Wariant</t>
  </si>
  <si>
    <t>Sterowanie</t>
  </si>
  <si>
    <t>+ Apple Dev (PLN)</t>
  </si>
  <si>
    <t>RAZEM (PLN)</t>
  </si>
  <si>
    <t>1:1 A — prosty</t>
  </si>
  <si>
    <t>1:1 B</t>
  </si>
  <si>
    <t>1:1 C</t>
  </si>
  <si>
    <t>1:1 D — pełny</t>
  </si>
  <si>
    <t>1:N A — prosty</t>
  </si>
  <si>
    <t>Opcja A — broadcast</t>
  </si>
  <si>
    <t>Opcja B — indywidualne</t>
  </si>
  <si>
    <t>Opcja C — broadcast+override</t>
  </si>
  <si>
    <t>1:N D — pełny</t>
  </si>
  <si>
    <t>Port na Android (delta): +40 h (~2 000 PLN) — Wi-Fi Direct/NSD zamiast Multipeer + testy + poprawki UI.</t>
  </si>
  <si>
    <t>WYCENA V3 — Realistyczna: szczegółowe rozbicie na czynności (Wariant A)</t>
  </si>
  <si>
    <t>Własny kod · pełny zakres · bufor ryzyka 15% · kolejność realizacji M1→M12 · kolumna korekt reuse dla Wariantu C</t>
  </si>
  <si>
    <t>Kamień milowy / czynność</t>
  </si>
  <si>
    <t>M1 — Architektura i komunikacja P2P</t>
  </si>
  <si>
    <t>Projekt architektury: warstwy, MVVM, abstrakcja transportu pod przyszły Android</t>
  </si>
  <si>
    <t>Ekran startowy + wybór roli (Pilot / Monitor)</t>
  </si>
  <si>
    <t>PoC Multipeer Connectivity w MAUI (binding warstwy natywnej, wykrywanie)</t>
  </si>
  <si>
    <t>Ryzyko R1</t>
  </si>
  <si>
    <t>Warstwa synchronizacji stanu w czasie rzeczywistym (model, protokół, serializacja)</t>
  </si>
  <si>
    <t>Lista dostępnych Pilotów + wybór bez wpisywania kodu</t>
  </si>
  <si>
    <t>Obsługa rozłączeń / reconnect + wskaźnik stanu połączenia</t>
  </si>
  <si>
    <t>Testy komunikacji na 2 fizycznych iPadach</t>
  </si>
  <si>
    <t>Wymaga 2 iPadów</t>
  </si>
  <si>
    <t>Razem M1</t>
  </si>
  <si>
    <t>M2 — Widok Monitora (silnik przebiegów + parametry)</t>
  </si>
  <si>
    <t>Silnik renderowania przebiegów (rysowanie, animacja, skala czasu)</t>
  </si>
  <si>
    <t>Główny driver kosztów</t>
  </si>
  <si>
    <t>Przebiegi bazowe: EKG, pleth/SpO₂, ciśnienie tętnicze, CVP/PAP, EtCO₂</t>
  </si>
  <si>
    <t>Kolumna parametrów liczbowych (HR, SpO₂, BP, CVP, PAP, EtCO₂, RR, Temp, Timer)</t>
  </si>
  <si>
    <t>Layout monitora (ciemne tło, czytelność z odległości, układ iPad)</t>
  </si>
  <si>
    <t>Synchronizacja przebiegów i parametrów z Pilotem</t>
  </si>
  <si>
    <t>Razem M2</t>
  </si>
  <si>
    <t>M3 — Pilot: pulpit instruktora</t>
  </si>
  <si>
    <t>Layout Pilota (podgląd monitora + panel sterowania)</t>
  </si>
  <si>
    <t>Ręczna zmiana parametrów (kontrolki, walidacja, wysyłka do Monitora)</t>
  </si>
  <si>
    <t>UI wyboru rytmów i zakłóceń</t>
  </si>
  <si>
    <t>Podgląd stanu połączenia i statusów</t>
  </si>
  <si>
    <t>Integracja z warstwą synchronizacji</t>
  </si>
  <si>
    <t>Razem M3</t>
  </si>
  <si>
    <t>M4 — Arytmie i zakłócenia (stany przebiegów)</t>
  </si>
  <si>
    <t>EKG: 17 stanów (bloki, AF, flutter, junctional, LBBB/RBBB, ST, SVT, Torsades, VF, VT, Noise)</t>
  </si>
  <si>
    <t>Wiarygodność = główny driver</t>
  </si>
  <si>
    <t>EtCO₂: 8 stanów</t>
  </si>
  <si>
    <t>PAP / CVP: 7 stanów</t>
  </si>
  <si>
    <t>Arterial / BP: 4 stany</t>
  </si>
  <si>
    <t>Mechanizm przełączania stanów + wpływ na parametry + synchronizacja</t>
  </si>
  <si>
    <t>Testy wiarygodności wizualnej</t>
  </si>
  <si>
    <t>Razem M4</t>
  </si>
  <si>
    <t>M5 — System scenariuszy</t>
  </si>
  <si>
    <t>Model danych scenariusza (parametry, rytm, zakłócenia, terapie, notatki)</t>
  </si>
  <si>
    <t>Zapis lokalny (persistencja danych na urządzeniu)</t>
  </si>
  <si>
    <t>CRUD: tworzenie / edycja / kopiowanie / usuwanie</t>
  </si>
  <si>
    <t>Edytor scenariuszy (interfejs)</t>
  </si>
  <si>
    <t>Szybkie uruchamianie + przełączanie scenariuszy w trakcie szkolenia</t>
  </si>
  <si>
    <t>Razem M5</t>
  </si>
  <si>
    <t>M6 — Tryb Defib (defibrylacja)</t>
  </si>
  <si>
    <t>Widok Defib + lokalne przełączanie widoków Monitor / Defib / AED</t>
  </si>
  <si>
    <t>Panel wspólny (POWER, ENERGY, CHARGE, SHOCK, DISARM)</t>
  </si>
  <si>
    <t>Wybór energii 10–360 J + animacja ładowania</t>
  </si>
  <si>
    <t>SHOCK: efekt wizualny + dźwiękowy</t>
  </si>
  <si>
    <t>Integracja z logiką zmiany rytmu</t>
  </si>
  <si>
    <t>Razem M6</t>
  </si>
  <si>
    <t>M7 — Tryb AED</t>
  </si>
  <si>
    <t>Widok AED + logika prowadzenia (analiza, komunikaty, shock advised / no shock)</t>
  </si>
  <si>
    <t>Integracja z logiką zmiany rytmu po wyładowaniach</t>
  </si>
  <si>
    <t>Audio / komunikaty głosowe AED</t>
  </si>
  <si>
    <t>Razem M7</t>
  </si>
  <si>
    <t>M8 — Kardiowersja zsynchronizowana</t>
  </si>
  <si>
    <t>Tryb SYNC + znacznik synchronizacji / marker R-wave</t>
  </si>
  <si>
    <t>Ładowanie + wyładowanie zsynchronizowane</t>
  </si>
  <si>
    <t>Efekty + integracja z logiką rytmu</t>
  </si>
  <si>
    <t>Razem M8</t>
  </si>
  <si>
    <t>M9 — Stymulacja (Pacing) — model uproszczony</t>
  </si>
  <si>
    <t>Tryb pacing: rate, output / mA, start / stop</t>
  </si>
  <si>
    <t>Wizualizacja pobudzeń stymulowanych na EKG</t>
  </si>
  <si>
    <t>Uproszczony model capture / no-capture</t>
  </si>
  <si>
    <t>Pełny model = Opcja B</t>
  </si>
  <si>
    <t>Razem M9</t>
  </si>
  <si>
    <t>M10 — Logika wyładowań i zmiany rytmu (konfigurowalna)</t>
  </si>
  <si>
    <t>Silnik reguł (po ilu wyładowaniach → jaki rytm; łańcuch reguł)</t>
  </si>
  <si>
    <t>Konfiguracja w Pilocie + przypisanie do scenariusza</t>
  </si>
  <si>
    <t>Wspólne dla Defib i AED</t>
  </si>
  <si>
    <t>Razem M10</t>
  </si>
  <si>
    <t>M11 — Ustawienia (audio, metronom, terapie)</t>
  </si>
  <si>
    <t>Ustawienia aplikacji</t>
  </si>
  <si>
    <t>Ustawienia audio</t>
  </si>
  <si>
    <t>Ustawienia trybów terapii (Defib / AED / kardiowersja / pacing)</t>
  </si>
  <si>
    <t>Razem M11</t>
  </si>
  <si>
    <t>M12 — Testy, stabilizacja, UX, dystrybucja</t>
  </si>
  <si>
    <t>Testy integracyjne end-to-end na 2 urządzeniach</t>
  </si>
  <si>
    <t>Stabilizacja połączenia + przypadki brzegowe</t>
  </si>
  <si>
    <t>Dopracowanie UX i czytelności</t>
  </si>
  <si>
    <t>Konfiguracja TestFlight + build dystrybucyjny</t>
  </si>
  <si>
    <t>Dokumentacja użytkownika / instruktora</t>
  </si>
  <si>
    <t>Razem M12</t>
  </si>
  <si>
    <t>RAZEM MODUŁY (development + testy)</t>
  </si>
  <si>
    <t>15% × godziny modułów</t>
  </si>
  <si>
    <t>RAZEM PRACA (Wariant A)</t>
  </si>
  <si>
    <t>WARIANTY V3 — porównanie (z buforem ryzyka)</t>
  </si>
  <si>
    <t>Godziny RAZEM</t>
  </si>
  <si>
    <t>Robocizna (PLN)</t>
  </si>
  <si>
    <t>A — Podstawowy (1:1)</t>
  </si>
  <si>
    <t>Własny kod, pełny zakres M1–M12</t>
  </si>
  <si>
    <t>Bazowy wariant tego arkusza</t>
  </si>
  <si>
    <t>B — + Opcja 1:N</t>
  </si>
  <si>
    <t>Wariant A + połączenie 1 Pilot → do 4 Monitorów</t>
  </si>
  <si>
    <t>Opcja 1:N wliczona</t>
  </si>
  <si>
    <t>C — + reuse II Library</t>
  </si>
  <si>
    <t>Wariant A z ponownym użyciem Infirmary Integrated</t>
  </si>
  <si>
    <t>Patrz korekty reuse niżej / arkusz V4</t>
  </si>
  <si>
    <t>KOREKTY REUSE — Wariant C (Infirmary Integrated, Apache 2.0)</t>
  </si>
  <si>
    <t>Godz. własny (A)</t>
  </si>
  <si>
    <t>Korekta reuse</t>
  </si>
  <si>
    <t>Godz. Wariant C</t>
  </si>
  <si>
    <t>Uwaga</t>
  </si>
  <si>
    <t>M1 — Architektura i P2P</t>
  </si>
  <si>
    <t>Własna warstwa — bez reuse</t>
  </si>
  <si>
    <t>M2 — Widok Monitora</t>
  </si>
  <si>
    <t>Reuse silnika fal i przebiegów</t>
  </si>
  <si>
    <t>M3 — Pilot: pulpit</t>
  </si>
  <si>
    <t>Własny UI</t>
  </si>
  <si>
    <t>M4 — Arytmie i zakłócenia</t>
  </si>
  <si>
    <t>Reuse 30+ rytmów (największa oszczędność)</t>
  </si>
  <si>
    <t>Reuse modelu danych scenariusza</t>
  </si>
  <si>
    <t>M6 — Tryb Defib</t>
  </si>
  <si>
    <t>Reuse logiki defibrylacji</t>
  </si>
  <si>
    <t>Reuse logiki AED</t>
  </si>
  <si>
    <t>M8 — Kardiowersja</t>
  </si>
  <si>
    <t>Reuse logiki kardiowersji</t>
  </si>
  <si>
    <t>M9 — Stymulacja</t>
  </si>
  <si>
    <t>Reuse logiki pacingu</t>
  </si>
  <si>
    <t>M10 — Logika wyładowań</t>
  </si>
  <si>
    <t>Własny silnik reguł</t>
  </si>
  <si>
    <t>M11 — Ustawienia</t>
  </si>
  <si>
    <t>Własne</t>
  </si>
  <si>
    <t>M12 — Testy i dystrybucja</t>
  </si>
  <si>
    <t>Bez zmian</t>
  </si>
  <si>
    <t>Port II Library → MAUI</t>
  </si>
  <si>
    <t>Usunięcie zależności desktopowych, refaktor</t>
  </si>
  <si>
    <t>Obsługa licencji Apache 2.0</t>
  </si>
  <si>
    <t>Atrybucja, plik NOTICE, zgodność</t>
  </si>
  <si>
    <t>RAZEM moduły — Wariant C</t>
  </si>
  <si>
    <t>WYCENA V4 — ZUNIFIKOWANA ★ (reuse + bufor 15% + koszty sprzętu)</t>
  </si>
  <si>
    <t>REKOMENDOWANA, pełna oferta · zakres V3 + oszczędność reuse + bufor ryzyka + sprzęt · kolejność realizacji M1→M12</t>
  </si>
  <si>
    <t>Kamień milowy / moduł</t>
  </si>
  <si>
    <t>Godz. V4</t>
  </si>
  <si>
    <t>Koszt V4 (PLN) / Uwaga</t>
  </si>
  <si>
    <t>P2P i architektura</t>
  </si>
  <si>
    <t>Własna warstwa Multipeer; największe ryzyko techniczne</t>
  </si>
  <si>
    <t>Reuse silnika fal z II Library; integracja SkiaSharp/MAUI</t>
  </si>
  <si>
    <t>Własny UI instruktora</t>
  </si>
  <si>
    <t>Reuse 30+ rytmów; weryfikacja wizualna i dopasowanie MAUI</t>
  </si>
  <si>
    <t>Reuse modelu danych; własny edytor CRUD</t>
  </si>
  <si>
    <t>Stymulacja (pacing)</t>
  </si>
  <si>
    <t>Reuse logiki pacingu; model uproszczony</t>
  </si>
  <si>
    <t>Ustawienia i audio</t>
  </si>
  <si>
    <t>Własne ustawienia, audio, metronom</t>
  </si>
  <si>
    <t>Testy i dystrybucja</t>
  </si>
  <si>
    <t>Testy P2P na fizycznych iPadach; TestFlight</t>
  </si>
  <si>
    <t>+</t>
  </si>
  <si>
    <t>SUMA MODUŁÓW</t>
  </si>
  <si>
    <t>RAZEM GODZINY / ROBOCIZNA</t>
  </si>
  <si>
    <t>KOSZTY STAŁE (sprzęt, konta, licencje)</t>
  </si>
  <si>
    <t>Ilość</t>
  </si>
  <si>
    <t>Mac mini M4 (host budowania iOS)</t>
  </si>
  <si>
    <t>Klient posiada — 0 PLN. Bez Maca: ~2 500–3 500 PLN.</t>
  </si>
  <si>
    <t>Apple Developer Program (99 USD/rok)</t>
  </si>
  <si>
    <t>Wymagany do TestFlight i podpisywania</t>
  </si>
  <si>
    <t>2 × iPad 10. gen (testy P2P)</t>
  </si>
  <si>
    <t>Min. 2 do testów komunikacji P2P</t>
  </si>
  <si>
    <t>Akcesoria (etui, kable, ładowarki)</t>
  </si>
  <si>
    <t>Szacunkowo</t>
  </si>
  <si>
    <t>RAZEM koszty stałe</t>
  </si>
  <si>
    <t>★ SUMA CAŁKOWITA (robocizna + sprzęt)</t>
  </si>
  <si>
    <t>OPCJE DODATKOWE — praca poza zakresem podstawowym</t>
  </si>
  <si>
    <t>NIE wliczane do sum głównych. Koszt 'z buforem' = wersja doliczona do wariantów V3/V4 (bufor ryzyka 15%).</t>
  </si>
  <si>
    <t>Koszt bazowy (PLN)</t>
  </si>
  <si>
    <t>Z buforem 15% (PLN)</t>
  </si>
  <si>
    <t>Połączenie 1:N (1 Pilot → do 4 Monitorów): broadcast, sesje per-urządzenie, pulpit master, testy 4+ urządzeń, bufor multi-peer</t>
  </si>
  <si>
    <t>Wymaga dodatkowych iPadów (testy)</t>
  </si>
  <si>
    <t>Pełny model capture/no-capture w Pacingu (próg wychwycenia mA/rate) zamiast modelu uproszczonego</t>
  </si>
  <si>
    <t>Alternatywa dla uproszczonego M9</t>
  </si>
  <si>
    <t>Port na Android: natywna warstwa P2P (Nearby Connections), testy na sprzęcie, zgodność layoutów</t>
  </si>
  <si>
    <t>~7 500–9 000</t>
  </si>
  <si>
    <t>Orientacyjnie 120–180 h (~7 500–9 000 PLN)</t>
  </si>
  <si>
    <t>KOSZTY STAŁE — sprzęt, konta, dystrybucja</t>
  </si>
  <si>
    <t>Identyczne dla wszystkich wariantów. Mac założono jako posiadany przez klienta.</t>
  </si>
  <si>
    <t>MAC — wymagany do budowania aplikacji iOS</t>
  </si>
  <si>
    <t>Model</t>
  </si>
  <si>
    <t>Cena (PLN)</t>
  </si>
  <si>
    <t>Mac mini M4</t>
  </si>
  <si>
    <t>Najtańsza opcja, wymaga monitora/klawiatury</t>
  </si>
  <si>
    <t>MacBook Air M3 13"</t>
  </si>
  <si>
    <t>Najpopularniejszy wybór dewelopera</t>
  </si>
  <si>
    <t>MacBook Pro M3 14"</t>
  </si>
  <si>
    <t>Nadmiarowy do tego projektu</t>
  </si>
  <si>
    <t>iPADY DO TESTÓW (wymagane tylko do testów P2P)</t>
  </si>
  <si>
    <t>Model iPada</t>
  </si>
  <si>
    <t>Cena (PLN/szt.)</t>
  </si>
  <si>
    <t>iPad 10. generacji</t>
  </si>
  <si>
    <t>Minimum do testów</t>
  </si>
  <si>
    <t>iPad Air M2</t>
  </si>
  <si>
    <t>Komfortowe urządzenie testowe</t>
  </si>
  <si>
    <t>2× iPad (testy P2P)</t>
  </si>
  <si>
    <t>Minimalne — 2× iPad 10. gen</t>
  </si>
  <si>
    <t>APPLE DEVELOPER ACCOUNT / DYSTRYBUCJA</t>
  </si>
  <si>
    <t>Model dystrybucji</t>
  </si>
  <si>
    <t>Koszt roczny (PLN)</t>
  </si>
  <si>
    <t>App Store (publiczny) — Apple Developer Program</t>
  </si>
  <si>
    <t>99 USD/rok</t>
  </si>
  <si>
    <t>TestFlight — Apple Developer Program</t>
  </si>
  <si>
    <t>Rekomendowane dla aplikacji okołomedycznej</t>
  </si>
  <si>
    <t>Enterprise — Apple Developer Enterprise Program</t>
  </si>
  <si>
    <t>299 USD/rok, dystrybucja wewnętrzna</t>
  </si>
  <si>
    <t>REJESTR RYZYK I ZAGROŻEŃ</t>
  </si>
  <si>
    <t>ID</t>
  </si>
  <si>
    <t>Ryzyko</t>
  </si>
  <si>
    <t>Prawdopodobieństwo</t>
  </si>
  <si>
    <t>Wpływ</t>
  </si>
  <si>
    <t>Działanie ograniczające (mitygacja)</t>
  </si>
  <si>
    <t>R1</t>
  </si>
  <si>
    <t>Multipeer Connectivity w .NET MAUI wymaga własnego bindingu warstwy natywnej</t>
  </si>
  <si>
    <t>Wysokie</t>
  </si>
  <si>
    <t>Wysoki</t>
  </si>
  <si>
    <t>PoC w M1 jako pierwszy krok; plan B: TCP/UDP lokalnie. Bufor 15%.</t>
  </si>
  <si>
    <t>R2</t>
  </si>
  <si>
    <t>Brak doświadczenia z Apple/iOS (Xcode, podpisywanie, provisioning)</t>
  </si>
  <si>
    <t>Średni</t>
  </si>
  <si>
    <t>Materiały pomocnicze; TestFlight zamiast App Store ogranicza tarcia.</t>
  </si>
  <si>
    <t>R3</t>
  </si>
  <si>
    <t>Wiarygodność wizualna przebiegów EKG/arytmii trudniejsza niż zakładano</t>
  </si>
  <si>
    <t>Średnie</t>
  </si>
  <si>
    <t>Najpierw silnik (M2), potem stany (M4); reuse (Wariant C/V4) mocno ogranicza.</t>
  </si>
  <si>
    <t>R4</t>
  </si>
  <si>
    <t>Uwagi/odrzucenie Apple (aplikacja „okołomedyczna”)</t>
  </si>
  <si>
    <t>TestFlight/wewnętrznie; oznaczenie „symulacja edukacyjna, nie wyrób medyczny”.</t>
  </si>
  <si>
    <t>R5</t>
  </si>
  <si>
    <t>Stabilność synchronizacji w czasie rzeczywistym (opóźnienia, desync)</t>
  </si>
  <si>
    <t>Prosty, odporny protokół; reconnect; testy na realnym sprzęcie.</t>
  </si>
  <si>
    <t>R6</t>
  </si>
  <si>
    <t>Skalowanie 1:N (do 4) — wydajność i stabilność Multipeer</t>
  </si>
  <si>
    <t>Bufor w Opcji A; testy z 4+ urządzeniami; limit 4 klientów.</t>
  </si>
  <si>
    <t>R7</t>
  </si>
  <si>
    <t>Brak fizycznych iPadów = brak realnych testów P2P</t>
  </si>
  <si>
    <t>Zakup min. 2 iPadów (Koszty stałe) na starcie.</t>
  </si>
  <si>
    <t>R8</t>
  </si>
  <si>
    <t>Niedoszacowanie zakresu („pełna wersja, nie MVP”)</t>
  </si>
  <si>
    <t>Kamienie milowe; przyrostowe dostarczanie; rezerwa 15%.</t>
  </si>
  <si>
    <t>R9</t>
  </si>
  <si>
    <t>Zależność od jednego programisty</t>
  </si>
  <si>
    <t>Dokumentacja na bieżąco; repo pod kontrolą wersji.</t>
  </si>
  <si>
    <t>R10</t>
  </si>
  <si>
    <t>Złożoność audio (AED, metronom, alarmy) na iPadOS</t>
  </si>
  <si>
    <t>Niskie</t>
  </si>
  <si>
    <t>Niski</t>
  </si>
  <si>
    <t>Standardowe API audio; wczesny prototyp.</t>
  </si>
  <si>
    <t>R11</t>
  </si>
  <si>
    <t>[Wariant C/V4] Zależność od kodu II Library; zgodność z Apache 2.0</t>
  </si>
  <si>
    <t>Czas na analizę i port; dołączenie licencji/NOTICE; możliwość fork-a.</t>
  </si>
  <si>
    <t>Wszystkie algorytmy pisane od zera (clean-room). Warianty A–D (prosty→pełny) oraz opcje sterowania 1:N (jeden pilot - wielu klientów).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</si>
</sst>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h&quot;"/>
    <numFmt numFmtId="165" formatCode="#,##0\ &quot;PLN&quot;"/>
    <numFmt numFmtId="166" formatCode="\+0;\-0;0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color rgb="FF404040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  <font>
      <b/>
      <sz val="12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8EAADB"/>
      </patternFill>
    </fill>
    <fill>
      <patternFill patternType="solid">
        <fgColor rgb="FF2E5496"/>
      </patternFill>
    </fill>
    <fill>
      <patternFill patternType="solid">
        <fgColor rgb="FFFFE699"/>
      </patternFill>
    </fill>
    <fill>
      <patternFill patternType="solid">
        <fgColor rgb="FFC6E0B4"/>
      </patternFill>
    </fill>
    <fill>
      <patternFill patternType="solid">
        <fgColor rgb="FFD6DCE5"/>
      </patternFill>
    </fill>
    <fill>
      <patternFill patternType="solid">
        <fgColor rgb="FFF2F2F2"/>
      </patternFill>
    </fill>
    <fill>
      <patternFill patternType="solid">
        <fgColor rgb="FF385723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9" fontId="5" fillId="5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/>
    <xf numFmtId="0" fontId="6" fillId="6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/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0" fillId="5" borderId="1" xfId="0" applyFill="1" applyBorder="1"/>
    <xf numFmtId="0" fontId="6" fillId="0" borderId="0" xfId="0" applyFont="1" applyAlignment="1">
      <alignment horizontal="left" vertical="center" wrapText="1"/>
    </xf>
    <xf numFmtId="0" fontId="0" fillId="6" borderId="1" xfId="0" applyFill="1" applyBorder="1"/>
    <xf numFmtId="0" fontId="0" fillId="7" borderId="1" xfId="0" applyFill="1" applyBorder="1"/>
    <xf numFmtId="0" fontId="0" fillId="4" borderId="1" xfId="0" applyFill="1" applyBorder="1"/>
    <xf numFmtId="0" fontId="0" fillId="3" borderId="1" xfId="0" applyFill="1" applyBorder="1"/>
    <xf numFmtId="164" fontId="0" fillId="0" borderId="1" xfId="0" applyNumberFormat="1" applyBorder="1" applyAlignment="1">
      <alignment horizontal="center" vertical="center" wrapText="1"/>
    </xf>
    <xf numFmtId="164" fontId="0" fillId="6" borderId="1" xfId="0" applyNumberFormat="1" applyFill="1" applyBorder="1" applyAlignment="1">
      <alignment horizontal="center" vertical="center" wrapText="1"/>
    </xf>
    <xf numFmtId="164" fontId="5" fillId="7" borderId="1" xfId="0" applyNumberFormat="1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5" fontId="0" fillId="6" borderId="1" xfId="0" applyNumberFormat="1" applyFill="1" applyBorder="1" applyAlignment="1">
      <alignment horizontal="center" vertical="center" wrapText="1"/>
    </xf>
    <xf numFmtId="165" fontId="5" fillId="5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164" fontId="0" fillId="8" borderId="1" xfId="0" applyNumberFormat="1" applyFill="1" applyBorder="1" applyAlignment="1">
      <alignment horizontal="center" vertical="center" wrapText="1"/>
    </xf>
    <xf numFmtId="165" fontId="0" fillId="8" borderId="1" xfId="0" applyNumberForma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center" wrapText="1"/>
    </xf>
    <xf numFmtId="165" fontId="5" fillId="6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0" fillId="8" borderId="1" xfId="0" applyFill="1" applyBorder="1"/>
    <xf numFmtId="0" fontId="6" fillId="8" borderId="1" xfId="0" applyFont="1" applyFill="1" applyBorder="1"/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165" fontId="5" fillId="7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/>
    <xf numFmtId="0" fontId="5" fillId="5" borderId="1" xfId="0" applyFont="1" applyFill="1" applyBorder="1" applyAlignment="1">
      <alignment horizontal="left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6" fontId="0" fillId="8" borderId="1" xfId="0" applyNumberFormat="1" applyFill="1" applyBorder="1" applyAlignment="1">
      <alignment horizontal="center" vertical="center" wrapText="1"/>
    </xf>
    <xf numFmtId="164" fontId="5" fillId="8" borderId="1" xfId="0" applyNumberFormat="1" applyFont="1" applyFill="1" applyBorder="1" applyAlignment="1">
      <alignment horizontal="center" vertical="center" wrapText="1"/>
    </xf>
    <xf numFmtId="166" fontId="5" fillId="6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/>
    <xf numFmtId="0" fontId="7" fillId="9" borderId="1" xfId="0" applyFont="1" applyFill="1" applyBorder="1" applyAlignment="1">
      <alignment horizontal="left" vertical="center" wrapText="1"/>
    </xf>
    <xf numFmtId="165" fontId="7" fillId="9" borderId="1" xfId="0" applyNumberFormat="1" applyFont="1" applyFill="1" applyBorder="1" applyAlignment="1">
      <alignment horizontal="center" vertical="center" wrapText="1"/>
    </xf>
    <xf numFmtId="165" fontId="0" fillId="5" borderId="1" xfId="0" applyNumberForma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6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2" fillId="0" borderId="0" xfId="0" applyFont="1"/>
    <xf numFmtId="0" fontId="5" fillId="6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6" fillId="0" borderId="0" xfId="0" applyFont="1" applyAlignment="1">
      <alignment horizontal="left" vertical="center" wrapText="1"/>
    </xf>
    <xf numFmtId="0" fontId="1" fillId="9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1"/>
  <sheetViews>
    <sheetView showGridLines="0" topLeftCell="A76" workbookViewId="0">
      <selection activeCell="D14" sqref="D14"/>
    </sheetView>
  </sheetViews>
  <sheetFormatPr defaultRowHeight="15" x14ac:dyDescent="0.25"/>
  <cols>
    <col min="1" max="1" width="3" customWidth="1"/>
    <col min="2" max="2" width="34" customWidth="1"/>
    <col min="3" max="3" width="20" customWidth="1"/>
    <col min="4" max="4" width="60" customWidth="1"/>
  </cols>
  <sheetData>
    <row r="1" spans="1:4" ht="26.1" customHeight="1" x14ac:dyDescent="0.25">
      <c r="A1" s="68" t="s">
        <v>0</v>
      </c>
      <c r="B1" s="63"/>
      <c r="C1" s="63"/>
      <c r="D1" s="63"/>
    </row>
    <row r="2" spans="1:4" x14ac:dyDescent="0.25">
      <c r="A2" s="69" t="s">
        <v>1</v>
      </c>
      <c r="B2" s="63"/>
      <c r="C2" s="63"/>
      <c r="D2" s="63"/>
    </row>
    <row r="3" spans="1:4" x14ac:dyDescent="0.25">
      <c r="A3" s="69" t="s">
        <v>2</v>
      </c>
      <c r="B3" s="63"/>
      <c r="C3" s="63"/>
      <c r="D3" s="63"/>
    </row>
    <row r="5" spans="1:4" ht="20.100000000000001" customHeight="1" x14ac:dyDescent="0.25">
      <c r="A5" s="62" t="s">
        <v>3</v>
      </c>
      <c r="B5" s="63"/>
      <c r="C5" s="63"/>
      <c r="D5" s="63"/>
    </row>
    <row r="6" spans="1:4" x14ac:dyDescent="0.25">
      <c r="A6" s="1"/>
      <c r="B6" s="1" t="s">
        <v>4</v>
      </c>
      <c r="C6" s="1" t="s">
        <v>5</v>
      </c>
      <c r="D6" s="1" t="s">
        <v>6</v>
      </c>
    </row>
    <row r="7" spans="1:4" ht="25.5" x14ac:dyDescent="0.25">
      <c r="B7" s="2" t="s">
        <v>7</v>
      </c>
      <c r="C7" s="3">
        <v>50</v>
      </c>
      <c r="D7" s="4" t="s">
        <v>8</v>
      </c>
    </row>
    <row r="8" spans="1:4" ht="25.5" x14ac:dyDescent="0.25">
      <c r="B8" s="2" t="s">
        <v>9</v>
      </c>
      <c r="C8" s="5">
        <v>0.15</v>
      </c>
      <c r="D8" s="4" t="s">
        <v>10</v>
      </c>
    </row>
    <row r="9" spans="1:4" x14ac:dyDescent="0.25">
      <c r="B9" s="2" t="s">
        <v>11</v>
      </c>
      <c r="C9" s="3">
        <v>4.05</v>
      </c>
      <c r="D9" s="4" t="s">
        <v>12</v>
      </c>
    </row>
    <row r="11" spans="1:4" ht="20.100000000000001" customHeight="1" x14ac:dyDescent="0.25">
      <c r="A11" s="62" t="s">
        <v>13</v>
      </c>
      <c r="B11" s="63"/>
      <c r="C11" s="63"/>
      <c r="D11" s="63"/>
    </row>
    <row r="12" spans="1:4" x14ac:dyDescent="0.25">
      <c r="A12" s="1"/>
      <c r="B12" s="1" t="s">
        <v>14</v>
      </c>
      <c r="C12" s="1" t="s">
        <v>15</v>
      </c>
      <c r="D12" s="1" t="s">
        <v>16</v>
      </c>
    </row>
    <row r="13" spans="1:4" ht="25.5" x14ac:dyDescent="0.25">
      <c r="B13" s="2" t="s">
        <v>17</v>
      </c>
      <c r="C13" s="4" t="s">
        <v>18</v>
      </c>
      <c r="D13" s="4" t="s">
        <v>19</v>
      </c>
    </row>
    <row r="14" spans="1:4" ht="25.5" x14ac:dyDescent="0.25">
      <c r="B14" s="2" t="s">
        <v>20</v>
      </c>
      <c r="C14" s="4" t="s">
        <v>21</v>
      </c>
      <c r="D14" s="4" t="s">
        <v>539</v>
      </c>
    </row>
    <row r="15" spans="1:4" ht="25.5" x14ac:dyDescent="0.25">
      <c r="B15" s="2" t="s">
        <v>22</v>
      </c>
      <c r="C15" s="4" t="s">
        <v>23</v>
      </c>
      <c r="D15" s="4" t="s">
        <v>24</v>
      </c>
    </row>
    <row r="16" spans="1:4" ht="25.5" x14ac:dyDescent="0.25">
      <c r="B16" s="6" t="s">
        <v>25</v>
      </c>
      <c r="C16" s="7" t="s">
        <v>26</v>
      </c>
      <c r="D16" s="7" t="s">
        <v>27</v>
      </c>
    </row>
    <row r="18" spans="1:4" ht="20.100000000000001" customHeight="1" x14ac:dyDescent="0.25">
      <c r="A18" s="62" t="s">
        <v>28</v>
      </c>
      <c r="B18" s="63"/>
      <c r="C18" s="63"/>
      <c r="D18" s="63"/>
    </row>
    <row r="19" spans="1:4" x14ac:dyDescent="0.25">
      <c r="A19" s="1"/>
      <c r="B19" s="1" t="s">
        <v>29</v>
      </c>
      <c r="C19" s="1" t="s">
        <v>30</v>
      </c>
      <c r="D19" s="1" t="s">
        <v>31</v>
      </c>
    </row>
    <row r="20" spans="1:4" ht="25.5" x14ac:dyDescent="0.25">
      <c r="B20" s="8" t="s">
        <v>32</v>
      </c>
      <c r="C20" s="9" t="s">
        <v>33</v>
      </c>
      <c r="D20" s="4" t="s">
        <v>34</v>
      </c>
    </row>
    <row r="21" spans="1:4" ht="25.5" x14ac:dyDescent="0.25">
      <c r="B21" s="8" t="s">
        <v>35</v>
      </c>
      <c r="C21" s="9" t="s">
        <v>36</v>
      </c>
      <c r="D21" s="4" t="s">
        <v>37</v>
      </c>
    </row>
    <row r="22" spans="1:4" ht="25.5" x14ac:dyDescent="0.25">
      <c r="B22" s="8" t="s">
        <v>38</v>
      </c>
      <c r="C22" s="9" t="s">
        <v>39</v>
      </c>
      <c r="D22" s="4" t="s">
        <v>40</v>
      </c>
    </row>
    <row r="23" spans="1:4" ht="25.5" x14ac:dyDescent="0.25">
      <c r="B23" s="8" t="s">
        <v>41</v>
      </c>
      <c r="C23" s="9" t="s">
        <v>42</v>
      </c>
      <c r="D23" s="4" t="s">
        <v>43</v>
      </c>
    </row>
    <row r="24" spans="1:4" ht="25.5" x14ac:dyDescent="0.25">
      <c r="B24" s="8" t="s">
        <v>44</v>
      </c>
      <c r="C24" s="9" t="s">
        <v>45</v>
      </c>
      <c r="D24" s="4" t="s">
        <v>46</v>
      </c>
    </row>
    <row r="25" spans="1:4" ht="25.5" x14ac:dyDescent="0.25">
      <c r="B25" s="8" t="s">
        <v>47</v>
      </c>
      <c r="C25" s="9" t="s">
        <v>48</v>
      </c>
      <c r="D25" s="4" t="s">
        <v>49</v>
      </c>
    </row>
    <row r="26" spans="1:4" ht="25.5" x14ac:dyDescent="0.25">
      <c r="B26" s="8" t="s">
        <v>50</v>
      </c>
      <c r="C26" s="9" t="s">
        <v>51</v>
      </c>
      <c r="D26" s="4" t="s">
        <v>52</v>
      </c>
    </row>
    <row r="27" spans="1:4" ht="25.5" x14ac:dyDescent="0.25">
      <c r="B27" s="8" t="s">
        <v>53</v>
      </c>
      <c r="C27" s="9" t="s">
        <v>54</v>
      </c>
      <c r="D27" s="4" t="s">
        <v>55</v>
      </c>
    </row>
    <row r="28" spans="1:4" ht="25.5" x14ac:dyDescent="0.25">
      <c r="B28" s="8" t="s">
        <v>56</v>
      </c>
      <c r="C28" s="9" t="s">
        <v>57</v>
      </c>
      <c r="D28" s="4" t="s">
        <v>58</v>
      </c>
    </row>
    <row r="29" spans="1:4" ht="25.5" x14ac:dyDescent="0.25">
      <c r="B29" s="8" t="s">
        <v>59</v>
      </c>
      <c r="C29" s="9" t="s">
        <v>60</v>
      </c>
      <c r="D29" s="4" t="s">
        <v>61</v>
      </c>
    </row>
    <row r="30" spans="1:4" x14ac:dyDescent="0.25">
      <c r="B30" s="8" t="s">
        <v>62</v>
      </c>
      <c r="C30" s="9" t="s">
        <v>63</v>
      </c>
      <c r="D30" s="4" t="s">
        <v>64</v>
      </c>
    </row>
    <row r="31" spans="1:4" ht="25.5" x14ac:dyDescent="0.25">
      <c r="B31" s="8" t="s">
        <v>65</v>
      </c>
      <c r="C31" s="9" t="s">
        <v>66</v>
      </c>
      <c r="D31" s="4" t="s">
        <v>67</v>
      </c>
    </row>
    <row r="33" spans="1:4" ht="20.100000000000001" customHeight="1" x14ac:dyDescent="0.25">
      <c r="A33" s="62" t="s">
        <v>68</v>
      </c>
      <c r="B33" s="63"/>
      <c r="C33" s="63"/>
      <c r="D33" s="63"/>
    </row>
    <row r="34" spans="1:4" x14ac:dyDescent="0.25">
      <c r="B34" s="1" t="s">
        <v>69</v>
      </c>
      <c r="C34" s="64" t="s">
        <v>70</v>
      </c>
      <c r="D34" s="65"/>
    </row>
    <row r="35" spans="1:4" ht="18" customHeight="1" x14ac:dyDescent="0.25">
      <c r="B35" s="62" t="s">
        <v>71</v>
      </c>
      <c r="C35" s="63"/>
      <c r="D35" s="63"/>
    </row>
    <row r="36" spans="1:4" ht="27.95" customHeight="1" x14ac:dyDescent="0.25">
      <c r="B36" s="11" t="s">
        <v>72</v>
      </c>
      <c r="C36" s="66" t="s">
        <v>73</v>
      </c>
      <c r="D36" s="65"/>
    </row>
    <row r="37" spans="1:4" ht="42" customHeight="1" x14ac:dyDescent="0.25">
      <c r="B37" s="11" t="s">
        <v>74</v>
      </c>
      <c r="C37" s="66" t="s">
        <v>75</v>
      </c>
      <c r="D37" s="65"/>
    </row>
    <row r="38" spans="1:4" ht="56.1" customHeight="1" x14ac:dyDescent="0.25">
      <c r="B38" s="11" t="s">
        <v>76</v>
      </c>
      <c r="C38" s="66" t="s">
        <v>77</v>
      </c>
      <c r="D38" s="65"/>
    </row>
    <row r="39" spans="1:4" ht="18" customHeight="1" x14ac:dyDescent="0.25">
      <c r="B39" s="62" t="s">
        <v>78</v>
      </c>
      <c r="C39" s="63"/>
      <c r="D39" s="63"/>
    </row>
    <row r="40" spans="1:4" ht="42" customHeight="1" x14ac:dyDescent="0.25">
      <c r="B40" s="11" t="s">
        <v>79</v>
      </c>
      <c r="C40" s="66" t="s">
        <v>80</v>
      </c>
      <c r="D40" s="65"/>
    </row>
    <row r="41" spans="1:4" ht="15.95" customHeight="1" x14ac:dyDescent="0.25">
      <c r="B41" s="11" t="s">
        <v>81</v>
      </c>
      <c r="C41" s="66" t="s">
        <v>82</v>
      </c>
      <c r="D41" s="65"/>
    </row>
    <row r="42" spans="1:4" ht="15.95" customHeight="1" x14ac:dyDescent="0.25">
      <c r="B42" s="11" t="s">
        <v>83</v>
      </c>
      <c r="C42" s="66" t="s">
        <v>84</v>
      </c>
      <c r="D42" s="65"/>
    </row>
    <row r="43" spans="1:4" ht="27.95" customHeight="1" x14ac:dyDescent="0.25">
      <c r="B43" s="11" t="s">
        <v>85</v>
      </c>
      <c r="C43" s="66" t="s">
        <v>86</v>
      </c>
      <c r="D43" s="65"/>
    </row>
    <row r="44" spans="1:4" ht="27.95" customHeight="1" x14ac:dyDescent="0.25">
      <c r="B44" s="11" t="s">
        <v>87</v>
      </c>
      <c r="C44" s="66" t="s">
        <v>88</v>
      </c>
      <c r="D44" s="65"/>
    </row>
    <row r="45" spans="1:4" ht="42" customHeight="1" x14ac:dyDescent="0.25">
      <c r="B45" s="11" t="s">
        <v>89</v>
      </c>
      <c r="C45" s="66" t="s">
        <v>90</v>
      </c>
      <c r="D45" s="65"/>
    </row>
    <row r="46" spans="1:4" ht="42" customHeight="1" x14ac:dyDescent="0.25">
      <c r="B46" s="11" t="s">
        <v>91</v>
      </c>
      <c r="C46" s="66" t="s">
        <v>92</v>
      </c>
      <c r="D46" s="65"/>
    </row>
    <row r="47" spans="1:4" ht="18" customHeight="1" x14ac:dyDescent="0.25">
      <c r="B47" s="62" t="s">
        <v>93</v>
      </c>
      <c r="C47" s="63"/>
      <c r="D47" s="63"/>
    </row>
    <row r="48" spans="1:4" ht="27.95" customHeight="1" x14ac:dyDescent="0.25">
      <c r="B48" s="11" t="s">
        <v>94</v>
      </c>
      <c r="C48" s="66" t="s">
        <v>95</v>
      </c>
      <c r="D48" s="65"/>
    </row>
    <row r="49" spans="2:4" ht="27.95" customHeight="1" x14ac:dyDescent="0.25">
      <c r="B49" s="11" t="s">
        <v>96</v>
      </c>
      <c r="C49" s="66" t="s">
        <v>97</v>
      </c>
      <c r="D49" s="65"/>
    </row>
    <row r="50" spans="2:4" ht="27.95" customHeight="1" x14ac:dyDescent="0.25">
      <c r="B50" s="11" t="s">
        <v>98</v>
      </c>
      <c r="C50" s="66" t="s">
        <v>99</v>
      </c>
      <c r="D50" s="65"/>
    </row>
    <row r="51" spans="2:4" ht="27.95" customHeight="1" x14ac:dyDescent="0.25">
      <c r="B51" s="11" t="s">
        <v>100</v>
      </c>
      <c r="C51" s="66" t="s">
        <v>101</v>
      </c>
      <c r="D51" s="65"/>
    </row>
    <row r="52" spans="2:4" ht="27.95" customHeight="1" x14ac:dyDescent="0.25">
      <c r="B52" s="11" t="s">
        <v>102</v>
      </c>
      <c r="C52" s="66" t="s">
        <v>103</v>
      </c>
      <c r="D52" s="65"/>
    </row>
    <row r="53" spans="2:4" ht="18" customHeight="1" x14ac:dyDescent="0.25">
      <c r="B53" s="62" t="s">
        <v>104</v>
      </c>
      <c r="C53" s="63"/>
      <c r="D53" s="63"/>
    </row>
    <row r="54" spans="2:4" ht="15.95" customHeight="1" x14ac:dyDescent="0.25">
      <c r="B54" s="11" t="s">
        <v>105</v>
      </c>
      <c r="C54" s="66" t="s">
        <v>106</v>
      </c>
      <c r="D54" s="65"/>
    </row>
    <row r="55" spans="2:4" ht="42" customHeight="1" x14ac:dyDescent="0.25">
      <c r="B55" s="11" t="s">
        <v>107</v>
      </c>
      <c r="C55" s="66" t="s">
        <v>108</v>
      </c>
      <c r="D55" s="65"/>
    </row>
    <row r="56" spans="2:4" ht="15.95" customHeight="1" x14ac:dyDescent="0.25">
      <c r="B56" s="11" t="s">
        <v>109</v>
      </c>
      <c r="C56" s="66" t="s">
        <v>110</v>
      </c>
      <c r="D56" s="65"/>
    </row>
    <row r="57" spans="2:4" ht="15.95" customHeight="1" x14ac:dyDescent="0.25">
      <c r="B57" s="11" t="s">
        <v>111</v>
      </c>
      <c r="C57" s="66" t="s">
        <v>112</v>
      </c>
      <c r="D57" s="65"/>
    </row>
    <row r="58" spans="2:4" ht="15.95" customHeight="1" x14ac:dyDescent="0.25">
      <c r="B58" s="11" t="s">
        <v>113</v>
      </c>
      <c r="C58" s="66" t="s">
        <v>114</v>
      </c>
      <c r="D58" s="65"/>
    </row>
    <row r="59" spans="2:4" ht="15.95" customHeight="1" x14ac:dyDescent="0.25">
      <c r="B59" s="11" t="s">
        <v>115</v>
      </c>
      <c r="C59" s="66" t="s">
        <v>116</v>
      </c>
      <c r="D59" s="65"/>
    </row>
    <row r="60" spans="2:4" ht="15.95" customHeight="1" x14ac:dyDescent="0.25">
      <c r="B60" s="11" t="s">
        <v>117</v>
      </c>
      <c r="C60" s="66" t="s">
        <v>118</v>
      </c>
      <c r="D60" s="65"/>
    </row>
    <row r="61" spans="2:4" ht="15.95" customHeight="1" x14ac:dyDescent="0.25">
      <c r="B61" s="11" t="s">
        <v>119</v>
      </c>
      <c r="C61" s="66" t="s">
        <v>120</v>
      </c>
      <c r="D61" s="65"/>
    </row>
    <row r="62" spans="2:4" ht="15.95" customHeight="1" x14ac:dyDescent="0.25">
      <c r="B62" s="11" t="s">
        <v>121</v>
      </c>
      <c r="C62" s="66" t="s">
        <v>122</v>
      </c>
      <c r="D62" s="65"/>
    </row>
    <row r="63" spans="2:4" ht="27.95" customHeight="1" x14ac:dyDescent="0.25">
      <c r="B63" s="11" t="s">
        <v>123</v>
      </c>
      <c r="C63" s="66" t="s">
        <v>124</v>
      </c>
      <c r="D63" s="65"/>
    </row>
    <row r="64" spans="2:4" ht="18" customHeight="1" x14ac:dyDescent="0.25">
      <c r="B64" s="62" t="s">
        <v>125</v>
      </c>
      <c r="C64" s="63"/>
      <c r="D64" s="63"/>
    </row>
    <row r="65" spans="1:4" ht="27.95" customHeight="1" x14ac:dyDescent="0.25">
      <c r="B65" s="11" t="s">
        <v>126</v>
      </c>
      <c r="C65" s="66" t="s">
        <v>127</v>
      </c>
      <c r="D65" s="65"/>
    </row>
    <row r="66" spans="1:4" ht="27.95" customHeight="1" x14ac:dyDescent="0.25">
      <c r="B66" s="11" t="s">
        <v>128</v>
      </c>
      <c r="C66" s="66" t="s">
        <v>129</v>
      </c>
      <c r="D66" s="65"/>
    </row>
    <row r="67" spans="1:4" ht="15.95" customHeight="1" x14ac:dyDescent="0.25">
      <c r="B67" s="11" t="s">
        <v>130</v>
      </c>
      <c r="C67" s="66" t="s">
        <v>131</v>
      </c>
      <c r="D67" s="65"/>
    </row>
    <row r="68" spans="1:4" ht="27.95" customHeight="1" x14ac:dyDescent="0.25">
      <c r="B68" s="11" t="s">
        <v>132</v>
      </c>
      <c r="C68" s="66" t="s">
        <v>133</v>
      </c>
      <c r="D68" s="65"/>
    </row>
    <row r="69" spans="1:4" ht="27.95" customHeight="1" x14ac:dyDescent="0.25">
      <c r="B69" s="11" t="s">
        <v>134</v>
      </c>
      <c r="C69" s="66" t="s">
        <v>135</v>
      </c>
      <c r="D69" s="65"/>
    </row>
    <row r="70" spans="1:4" ht="27.95" customHeight="1" x14ac:dyDescent="0.25">
      <c r="B70" s="11" t="s">
        <v>136</v>
      </c>
      <c r="C70" s="66" t="s">
        <v>137</v>
      </c>
      <c r="D70" s="65"/>
    </row>
    <row r="71" spans="1:4" ht="15.95" customHeight="1" x14ac:dyDescent="0.25">
      <c r="B71" s="11" t="s">
        <v>138</v>
      </c>
      <c r="C71" s="66" t="s">
        <v>139</v>
      </c>
      <c r="D71" s="65"/>
    </row>
    <row r="72" spans="1:4" ht="27.95" customHeight="1" x14ac:dyDescent="0.25">
      <c r="B72" s="11" t="s">
        <v>140</v>
      </c>
      <c r="C72" s="66" t="s">
        <v>141</v>
      </c>
      <c r="D72" s="65"/>
    </row>
    <row r="73" spans="1:4" ht="27.95" customHeight="1" x14ac:dyDescent="0.25">
      <c r="B73" s="11" t="s">
        <v>142</v>
      </c>
      <c r="C73" s="66" t="s">
        <v>143</v>
      </c>
      <c r="D73" s="65"/>
    </row>
    <row r="75" spans="1:4" ht="20.100000000000001" customHeight="1" x14ac:dyDescent="0.25">
      <c r="A75" s="62" t="s">
        <v>144</v>
      </c>
      <c r="B75" s="63"/>
      <c r="C75" s="63"/>
      <c r="D75" s="63"/>
    </row>
    <row r="76" spans="1:4" x14ac:dyDescent="0.25">
      <c r="B76" s="13"/>
      <c r="C76" s="10"/>
      <c r="D76" s="14" t="s">
        <v>145</v>
      </c>
    </row>
    <row r="77" spans="1:4" x14ac:dyDescent="0.25">
      <c r="B77" s="15"/>
      <c r="C77" s="10"/>
      <c r="D77" s="14" t="s">
        <v>146</v>
      </c>
    </row>
    <row r="78" spans="1:4" x14ac:dyDescent="0.25">
      <c r="B78" s="16"/>
      <c r="C78" s="10"/>
      <c r="D78" s="14" t="s">
        <v>147</v>
      </c>
    </row>
    <row r="79" spans="1:4" x14ac:dyDescent="0.25">
      <c r="B79" s="17"/>
      <c r="C79" s="10"/>
      <c r="D79" s="14" t="s">
        <v>148</v>
      </c>
    </row>
    <row r="80" spans="1:4" x14ac:dyDescent="0.25">
      <c r="B80" s="18"/>
      <c r="C80" s="10"/>
      <c r="D80" s="14" t="s">
        <v>149</v>
      </c>
    </row>
    <row r="82" spans="1:4" ht="20.100000000000001" customHeight="1" x14ac:dyDescent="0.25">
      <c r="A82" s="62" t="s">
        <v>150</v>
      </c>
      <c r="B82" s="63"/>
      <c r="C82" s="63"/>
      <c r="D82" s="63"/>
    </row>
    <row r="83" spans="1:4" ht="27.95" customHeight="1" x14ac:dyDescent="0.25">
      <c r="B83" s="67" t="s">
        <v>151</v>
      </c>
      <c r="C83" s="63"/>
      <c r="D83" s="63"/>
    </row>
    <row r="84" spans="1:4" ht="27.95" customHeight="1" x14ac:dyDescent="0.25">
      <c r="B84" s="67" t="s">
        <v>152</v>
      </c>
      <c r="C84" s="63"/>
      <c r="D84" s="63"/>
    </row>
    <row r="85" spans="1:4" ht="27.95" customHeight="1" x14ac:dyDescent="0.25">
      <c r="B85" s="67" t="s">
        <v>153</v>
      </c>
      <c r="C85" s="63"/>
      <c r="D85" s="63"/>
    </row>
    <row r="86" spans="1:4" ht="27.95" customHeight="1" x14ac:dyDescent="0.25">
      <c r="B86" s="67" t="s">
        <v>154</v>
      </c>
      <c r="C86" s="63"/>
      <c r="D86" s="63"/>
    </row>
    <row r="87" spans="1:4" ht="27.95" customHeight="1" x14ac:dyDescent="0.25">
      <c r="B87" s="67" t="s">
        <v>155</v>
      </c>
      <c r="C87" s="63"/>
      <c r="D87" s="63"/>
    </row>
    <row r="88" spans="1:4" ht="27.95" customHeight="1" x14ac:dyDescent="0.25">
      <c r="B88" s="67" t="s">
        <v>156</v>
      </c>
      <c r="C88" s="63"/>
      <c r="D88" s="63"/>
    </row>
    <row r="89" spans="1:4" ht="27.95" customHeight="1" x14ac:dyDescent="0.25">
      <c r="B89" s="67" t="s">
        <v>157</v>
      </c>
      <c r="C89" s="63"/>
      <c r="D89" s="63"/>
    </row>
    <row r="90" spans="1:4" ht="27.95" customHeight="1" x14ac:dyDescent="0.25">
      <c r="B90" s="67" t="s">
        <v>158</v>
      </c>
      <c r="C90" s="63"/>
      <c r="D90" s="63"/>
    </row>
    <row r="91" spans="1:4" ht="27.95" customHeight="1" x14ac:dyDescent="0.25">
      <c r="B91" s="67" t="s">
        <v>159</v>
      </c>
      <c r="C91" s="63"/>
      <c r="D91" s="63"/>
    </row>
  </sheetData>
  <mergeCells count="58">
    <mergeCell ref="B91:D91"/>
    <mergeCell ref="B47:D47"/>
    <mergeCell ref="B86:D86"/>
    <mergeCell ref="A75:D75"/>
    <mergeCell ref="A18:D18"/>
    <mergeCell ref="B90:D90"/>
    <mergeCell ref="C38:D38"/>
    <mergeCell ref="C72:D72"/>
    <mergeCell ref="C67:D67"/>
    <mergeCell ref="C57:D57"/>
    <mergeCell ref="C37:D37"/>
    <mergeCell ref="C66:D66"/>
    <mergeCell ref="A33:D33"/>
    <mergeCell ref="B39:D39"/>
    <mergeCell ref="C69:D69"/>
    <mergeCell ref="C49:D49"/>
    <mergeCell ref="A1:D1"/>
    <mergeCell ref="C43:D43"/>
    <mergeCell ref="B89:D89"/>
    <mergeCell ref="C46:D46"/>
    <mergeCell ref="C60:D60"/>
    <mergeCell ref="B85:D85"/>
    <mergeCell ref="C51:D51"/>
    <mergeCell ref="B35:D35"/>
    <mergeCell ref="C71:D71"/>
    <mergeCell ref="C36:D36"/>
    <mergeCell ref="C61:D61"/>
    <mergeCell ref="C52:D52"/>
    <mergeCell ref="C70:D70"/>
    <mergeCell ref="C48:D48"/>
    <mergeCell ref="A3:D3"/>
    <mergeCell ref="A2:D2"/>
    <mergeCell ref="B88:D88"/>
    <mergeCell ref="B53:D53"/>
    <mergeCell ref="B87:D87"/>
    <mergeCell ref="C73:D73"/>
    <mergeCell ref="C54:D54"/>
    <mergeCell ref="C63:D63"/>
    <mergeCell ref="C65:D65"/>
    <mergeCell ref="B84:D84"/>
    <mergeCell ref="C55:D55"/>
    <mergeCell ref="A82:D82"/>
    <mergeCell ref="B83:D83"/>
    <mergeCell ref="C56:D56"/>
    <mergeCell ref="B64:D64"/>
    <mergeCell ref="C59:D59"/>
    <mergeCell ref="A5:D5"/>
    <mergeCell ref="C34:D34"/>
    <mergeCell ref="C62:D62"/>
    <mergeCell ref="C68:D68"/>
    <mergeCell ref="C42:D42"/>
    <mergeCell ref="C58:D58"/>
    <mergeCell ref="C45:D45"/>
    <mergeCell ref="C41:D41"/>
    <mergeCell ref="C50:D50"/>
    <mergeCell ref="C44:D44"/>
    <mergeCell ref="C40:D40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showGridLines="0" workbookViewId="0">
      <pane xSplit="1" ySplit="4" topLeftCell="B11" activePane="bottomRight" state="frozen"/>
      <selection pane="topRight"/>
      <selection pane="bottomLeft"/>
      <selection pane="bottomRight" sqref="A1:H1"/>
    </sheetView>
  </sheetViews>
  <sheetFormatPr defaultRowHeight="15" x14ac:dyDescent="0.25"/>
  <cols>
    <col min="1" max="1" width="34" customWidth="1"/>
    <col min="2" max="8" width="13" customWidth="1"/>
  </cols>
  <sheetData>
    <row r="1" spans="1:8" ht="26.1" customHeight="1" x14ac:dyDescent="0.25">
      <c r="A1" s="68" t="s">
        <v>160</v>
      </c>
      <c r="B1" s="63"/>
      <c r="C1" s="63"/>
      <c r="D1" s="63"/>
      <c r="E1" s="63"/>
      <c r="F1" s="63"/>
      <c r="G1" s="63"/>
      <c r="H1" s="63"/>
    </row>
    <row r="2" spans="1:8" x14ac:dyDescent="0.25">
      <c r="A2" s="71" t="s">
        <v>161</v>
      </c>
      <c r="B2" s="63"/>
      <c r="C2" s="63"/>
      <c r="D2" s="63"/>
      <c r="E2" s="63"/>
      <c r="F2" s="63"/>
      <c r="G2" s="63"/>
      <c r="H2" s="63"/>
    </row>
    <row r="4" spans="1:8" ht="30" customHeight="1" x14ac:dyDescent="0.25">
      <c r="A4" s="1" t="s">
        <v>162</v>
      </c>
      <c r="B4" s="1" t="s">
        <v>163</v>
      </c>
      <c r="C4" s="1" t="s">
        <v>164</v>
      </c>
      <c r="D4" s="1" t="s">
        <v>165</v>
      </c>
      <c r="E4" s="1" t="s">
        <v>166</v>
      </c>
      <c r="F4" s="1" t="s">
        <v>167</v>
      </c>
      <c r="G4" s="1" t="s">
        <v>168</v>
      </c>
      <c r="H4" s="1" t="s">
        <v>169</v>
      </c>
    </row>
    <row r="5" spans="1:8" x14ac:dyDescent="0.25">
      <c r="A5" s="4" t="s">
        <v>170</v>
      </c>
      <c r="B5" s="19">
        <v>312</v>
      </c>
      <c r="C5" s="19">
        <v>402</v>
      </c>
      <c r="D5" s="19">
        <v>488</v>
      </c>
      <c r="E5" s="19">
        <v>936</v>
      </c>
      <c r="F5" s="19">
        <v>1066</v>
      </c>
      <c r="G5" s="19">
        <v>824</v>
      </c>
      <c r="H5" s="20">
        <v>824</v>
      </c>
    </row>
    <row r="6" spans="1:8" x14ac:dyDescent="0.25">
      <c r="A6" s="4" t="s">
        <v>171</v>
      </c>
      <c r="B6" s="19">
        <v>0</v>
      </c>
      <c r="C6" s="19">
        <v>0</v>
      </c>
      <c r="D6" s="19">
        <v>0</v>
      </c>
      <c r="E6" s="19">
        <v>140</v>
      </c>
      <c r="F6" s="19">
        <v>160</v>
      </c>
      <c r="G6" s="19">
        <v>124</v>
      </c>
      <c r="H6" s="20">
        <v>124</v>
      </c>
    </row>
    <row r="7" spans="1:8" x14ac:dyDescent="0.25">
      <c r="A7" s="9" t="s">
        <v>172</v>
      </c>
      <c r="B7" s="21">
        <v>312</v>
      </c>
      <c r="C7" s="21">
        <v>402</v>
      </c>
      <c r="D7" s="21">
        <v>488</v>
      </c>
      <c r="E7" s="21">
        <v>1076</v>
      </c>
      <c r="F7" s="21">
        <v>1226</v>
      </c>
      <c r="G7" s="21">
        <v>948</v>
      </c>
      <c r="H7" s="22">
        <v>948</v>
      </c>
    </row>
    <row r="8" spans="1:8" x14ac:dyDescent="0.25">
      <c r="A8" s="4" t="s">
        <v>173</v>
      </c>
      <c r="B8" s="23">
        <v>15600</v>
      </c>
      <c r="C8" s="23">
        <v>20100</v>
      </c>
      <c r="D8" s="23">
        <v>24400</v>
      </c>
      <c r="E8" s="23">
        <v>53800</v>
      </c>
      <c r="F8" s="23">
        <v>61300</v>
      </c>
      <c r="G8" s="23">
        <v>47400</v>
      </c>
      <c r="H8" s="24">
        <v>47400</v>
      </c>
    </row>
    <row r="9" spans="1:8" x14ac:dyDescent="0.25">
      <c r="A9" s="4" t="s">
        <v>174</v>
      </c>
      <c r="B9" s="23">
        <v>7300</v>
      </c>
      <c r="C9" s="23">
        <v>0</v>
      </c>
      <c r="D9" s="23">
        <v>0</v>
      </c>
      <c r="E9" s="23">
        <v>5701</v>
      </c>
      <c r="F9" s="23">
        <v>5701</v>
      </c>
      <c r="G9" s="23">
        <v>5701</v>
      </c>
      <c r="H9" s="24">
        <v>5701</v>
      </c>
    </row>
    <row r="10" spans="1:8" x14ac:dyDescent="0.25">
      <c r="A10" s="9" t="s">
        <v>175</v>
      </c>
      <c r="B10" s="25">
        <v>22900</v>
      </c>
      <c r="C10" s="25">
        <v>20100</v>
      </c>
      <c r="D10" s="25">
        <v>24400</v>
      </c>
      <c r="E10" s="25">
        <v>59501</v>
      </c>
      <c r="F10" s="25">
        <v>67001</v>
      </c>
      <c r="G10" s="25">
        <v>53101</v>
      </c>
      <c r="H10" s="25">
        <v>53101</v>
      </c>
    </row>
    <row r="12" spans="1:8" ht="30" customHeight="1" x14ac:dyDescent="0.25">
      <c r="A12" s="26" t="s">
        <v>176</v>
      </c>
      <c r="B12" s="26" t="s">
        <v>177</v>
      </c>
      <c r="C12" s="26" t="s">
        <v>178</v>
      </c>
      <c r="D12" s="26" t="s">
        <v>179</v>
      </c>
      <c r="E12" s="26" t="s">
        <v>180</v>
      </c>
      <c r="F12" s="26" t="s">
        <v>181</v>
      </c>
      <c r="G12" s="26" t="s">
        <v>182</v>
      </c>
      <c r="H12" s="26" t="s">
        <v>183</v>
      </c>
    </row>
    <row r="13" spans="1:8" x14ac:dyDescent="0.25">
      <c r="A13" s="4" t="s">
        <v>184</v>
      </c>
      <c r="B13" s="27" t="s">
        <v>185</v>
      </c>
      <c r="C13" s="27" t="s">
        <v>186</v>
      </c>
      <c r="D13" s="27" t="s">
        <v>186</v>
      </c>
      <c r="E13" s="27" t="s">
        <v>186</v>
      </c>
      <c r="F13" s="27" t="s">
        <v>186</v>
      </c>
      <c r="G13" s="27" t="s">
        <v>185</v>
      </c>
      <c r="H13" s="28" t="s">
        <v>185</v>
      </c>
    </row>
    <row r="14" spans="1:8" x14ac:dyDescent="0.25">
      <c r="A14" s="4" t="s">
        <v>187</v>
      </c>
      <c r="B14" s="27" t="s">
        <v>186</v>
      </c>
      <c r="C14" s="27" t="s">
        <v>186</v>
      </c>
      <c r="D14" s="27" t="s">
        <v>186</v>
      </c>
      <c r="E14" s="27" t="s">
        <v>185</v>
      </c>
      <c r="F14" s="27" t="s">
        <v>185</v>
      </c>
      <c r="G14" s="27" t="s">
        <v>185</v>
      </c>
      <c r="H14" s="28" t="s">
        <v>185</v>
      </c>
    </row>
    <row r="15" spans="1:8" x14ac:dyDescent="0.25">
      <c r="A15" s="4" t="s">
        <v>188</v>
      </c>
      <c r="B15" s="27" t="s">
        <v>186</v>
      </c>
      <c r="C15" s="27" t="s">
        <v>186</v>
      </c>
      <c r="D15" s="27" t="s">
        <v>185</v>
      </c>
      <c r="E15" s="27" t="s">
        <v>185</v>
      </c>
      <c r="F15" s="27" t="s">
        <v>185</v>
      </c>
      <c r="G15" s="27" t="s">
        <v>185</v>
      </c>
      <c r="H15" s="28" t="s">
        <v>185</v>
      </c>
    </row>
    <row r="16" spans="1:8" x14ac:dyDescent="0.25">
      <c r="A16" s="4" t="s">
        <v>189</v>
      </c>
      <c r="B16" s="27" t="s">
        <v>190</v>
      </c>
      <c r="C16" s="27" t="s">
        <v>191</v>
      </c>
      <c r="D16" s="27" t="s">
        <v>192</v>
      </c>
      <c r="E16" s="27" t="s">
        <v>193</v>
      </c>
      <c r="F16" s="27" t="s">
        <v>194</v>
      </c>
      <c r="G16" s="27" t="s">
        <v>195</v>
      </c>
      <c r="H16" s="28" t="s">
        <v>195</v>
      </c>
    </row>
    <row r="17" spans="1:8" x14ac:dyDescent="0.25">
      <c r="A17" s="4" t="s">
        <v>196</v>
      </c>
      <c r="B17" s="27" t="s">
        <v>185</v>
      </c>
      <c r="C17" s="27" t="s">
        <v>186</v>
      </c>
      <c r="D17" s="27" t="s">
        <v>186</v>
      </c>
      <c r="E17" s="27" t="s">
        <v>185</v>
      </c>
      <c r="F17" s="27" t="s">
        <v>185</v>
      </c>
      <c r="G17" s="27" t="s">
        <v>185</v>
      </c>
      <c r="H17" s="28" t="s">
        <v>185</v>
      </c>
    </row>
    <row r="18" spans="1:8" x14ac:dyDescent="0.25">
      <c r="A18" s="4" t="s">
        <v>197</v>
      </c>
      <c r="B18" s="27" t="s">
        <v>198</v>
      </c>
      <c r="C18" s="27" t="s">
        <v>199</v>
      </c>
      <c r="D18" s="27" t="s">
        <v>199</v>
      </c>
      <c r="E18" s="27" t="s">
        <v>200</v>
      </c>
      <c r="F18" s="27" t="s">
        <v>200</v>
      </c>
      <c r="G18" s="27" t="s">
        <v>201</v>
      </c>
      <c r="H18" s="28" t="s">
        <v>201</v>
      </c>
    </row>
    <row r="20" spans="1:8" ht="30" customHeight="1" x14ac:dyDescent="0.25">
      <c r="A20" s="70" t="s">
        <v>202</v>
      </c>
      <c r="B20" s="63"/>
      <c r="C20" s="63"/>
      <c r="D20" s="63"/>
      <c r="E20" s="63"/>
      <c r="F20" s="63"/>
      <c r="G20" s="63"/>
      <c r="H20" s="63"/>
    </row>
  </sheetData>
  <mergeCells count="3">
    <mergeCell ref="A20:H20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showGridLines="0" workbookViewId="0">
      <pane ySplit="4" topLeftCell="A11" activePane="bottomLeft" state="frozen"/>
      <selection pane="bottomLeft" sqref="A1:F1"/>
    </sheetView>
  </sheetViews>
  <sheetFormatPr defaultRowHeight="15" x14ac:dyDescent="0.25"/>
  <cols>
    <col min="1" max="1" width="7" customWidth="1"/>
    <col min="2" max="2" width="26" customWidth="1"/>
    <col min="3" max="3" width="48" customWidth="1"/>
    <col min="4" max="4" width="11" customWidth="1"/>
    <col min="5" max="5" width="14" customWidth="1"/>
    <col min="6" max="6" width="30" customWidth="1"/>
  </cols>
  <sheetData>
    <row r="1" spans="1:6" ht="26.1" customHeight="1" x14ac:dyDescent="0.25">
      <c r="A1" s="68" t="s">
        <v>203</v>
      </c>
      <c r="B1" s="63"/>
      <c r="C1" s="63"/>
      <c r="D1" s="63"/>
      <c r="E1" s="63"/>
      <c r="F1" s="63"/>
    </row>
    <row r="2" spans="1:6" x14ac:dyDescent="0.25">
      <c r="A2" s="69" t="s">
        <v>204</v>
      </c>
      <c r="B2" s="63"/>
      <c r="C2" s="63"/>
      <c r="D2" s="63"/>
      <c r="E2" s="63"/>
      <c r="F2" s="63"/>
    </row>
    <row r="4" spans="1:6" ht="30" customHeight="1" x14ac:dyDescent="0.25">
      <c r="A4" s="1" t="s">
        <v>205</v>
      </c>
      <c r="B4" s="1" t="s">
        <v>29</v>
      </c>
      <c r="C4" s="1" t="s">
        <v>206</v>
      </c>
      <c r="D4" s="1" t="s">
        <v>207</v>
      </c>
      <c r="E4" s="1" t="s">
        <v>208</v>
      </c>
      <c r="F4" s="1" t="s">
        <v>209</v>
      </c>
    </row>
    <row r="5" spans="1:6" ht="30" customHeight="1" x14ac:dyDescent="0.25">
      <c r="A5" s="8" t="s">
        <v>210</v>
      </c>
      <c r="B5" s="11" t="s">
        <v>211</v>
      </c>
      <c r="C5" s="12" t="s">
        <v>212</v>
      </c>
      <c r="D5" s="19">
        <v>30</v>
      </c>
      <c r="E5" s="23">
        <f t="shared" ref="E5:E17" si="0">D5*Stawka</f>
        <v>1500</v>
      </c>
      <c r="F5" s="29"/>
    </row>
    <row r="6" spans="1:6" ht="30" customHeight="1" x14ac:dyDescent="0.25">
      <c r="A6" s="30" t="s">
        <v>32</v>
      </c>
      <c r="B6" s="31" t="s">
        <v>213</v>
      </c>
      <c r="C6" s="32" t="s">
        <v>214</v>
      </c>
      <c r="D6" s="33">
        <v>32</v>
      </c>
      <c r="E6" s="34">
        <f t="shared" si="0"/>
        <v>1600</v>
      </c>
      <c r="F6" s="35" t="s">
        <v>215</v>
      </c>
    </row>
    <row r="7" spans="1:6" ht="30" customHeight="1" x14ac:dyDescent="0.25">
      <c r="A7" s="8" t="s">
        <v>35</v>
      </c>
      <c r="B7" s="11" t="s">
        <v>216</v>
      </c>
      <c r="C7" s="12" t="s">
        <v>217</v>
      </c>
      <c r="D7" s="19">
        <v>33</v>
      </c>
      <c r="E7" s="23">
        <f t="shared" si="0"/>
        <v>1650</v>
      </c>
      <c r="F7" s="29" t="s">
        <v>218</v>
      </c>
    </row>
    <row r="8" spans="1:6" ht="30" customHeight="1" x14ac:dyDescent="0.25">
      <c r="A8" s="30" t="s">
        <v>38</v>
      </c>
      <c r="B8" s="31" t="s">
        <v>219</v>
      </c>
      <c r="C8" s="32" t="s">
        <v>220</v>
      </c>
      <c r="D8" s="33">
        <v>28</v>
      </c>
      <c r="E8" s="34">
        <f t="shared" si="0"/>
        <v>1400</v>
      </c>
      <c r="F8" s="35" t="s">
        <v>218</v>
      </c>
    </row>
    <row r="9" spans="1:6" ht="30" customHeight="1" x14ac:dyDescent="0.25">
      <c r="A9" s="8" t="s">
        <v>41</v>
      </c>
      <c r="B9" s="11" t="s">
        <v>221</v>
      </c>
      <c r="C9" s="12" t="s">
        <v>222</v>
      </c>
      <c r="D9" s="19">
        <v>23</v>
      </c>
      <c r="E9" s="23">
        <f t="shared" si="0"/>
        <v>1150</v>
      </c>
      <c r="F9" s="29"/>
    </row>
    <row r="10" spans="1:6" ht="30" customHeight="1" x14ac:dyDescent="0.25">
      <c r="A10" s="30" t="s">
        <v>44</v>
      </c>
      <c r="B10" s="31" t="s">
        <v>223</v>
      </c>
      <c r="C10" s="32" t="s">
        <v>224</v>
      </c>
      <c r="D10" s="33">
        <v>27</v>
      </c>
      <c r="E10" s="34">
        <f t="shared" si="0"/>
        <v>1350</v>
      </c>
      <c r="F10" s="35"/>
    </row>
    <row r="11" spans="1:6" ht="30" customHeight="1" x14ac:dyDescent="0.25">
      <c r="A11" s="8" t="s">
        <v>47</v>
      </c>
      <c r="B11" s="11" t="s">
        <v>225</v>
      </c>
      <c r="C11" s="12" t="s">
        <v>226</v>
      </c>
      <c r="D11" s="19">
        <v>22</v>
      </c>
      <c r="E11" s="23">
        <f t="shared" si="0"/>
        <v>1100</v>
      </c>
      <c r="F11" s="29" t="s">
        <v>227</v>
      </c>
    </row>
    <row r="12" spans="1:6" ht="30" customHeight="1" x14ac:dyDescent="0.25">
      <c r="A12" s="30" t="s">
        <v>50</v>
      </c>
      <c r="B12" s="31" t="s">
        <v>228</v>
      </c>
      <c r="C12" s="32" t="s">
        <v>229</v>
      </c>
      <c r="D12" s="33">
        <v>35</v>
      </c>
      <c r="E12" s="34">
        <f t="shared" si="0"/>
        <v>1750</v>
      </c>
      <c r="F12" s="35"/>
    </row>
    <row r="13" spans="1:6" ht="30" customHeight="1" x14ac:dyDescent="0.25">
      <c r="A13" s="8" t="s">
        <v>53</v>
      </c>
      <c r="B13" s="11" t="s">
        <v>100</v>
      </c>
      <c r="C13" s="12" t="s">
        <v>230</v>
      </c>
      <c r="D13" s="19">
        <v>13</v>
      </c>
      <c r="E13" s="23">
        <f t="shared" si="0"/>
        <v>650</v>
      </c>
      <c r="F13" s="29"/>
    </row>
    <row r="14" spans="1:6" ht="30" customHeight="1" x14ac:dyDescent="0.25">
      <c r="A14" s="30" t="s">
        <v>56</v>
      </c>
      <c r="B14" s="31" t="s">
        <v>102</v>
      </c>
      <c r="C14" s="32" t="s">
        <v>231</v>
      </c>
      <c r="D14" s="33">
        <v>15</v>
      </c>
      <c r="E14" s="34">
        <f t="shared" si="0"/>
        <v>750</v>
      </c>
      <c r="F14" s="35"/>
    </row>
    <row r="15" spans="1:6" ht="30" customHeight="1" x14ac:dyDescent="0.25">
      <c r="A15" s="8" t="s">
        <v>59</v>
      </c>
      <c r="B15" s="11" t="s">
        <v>232</v>
      </c>
      <c r="C15" s="12" t="s">
        <v>233</v>
      </c>
      <c r="D15" s="19">
        <v>9</v>
      </c>
      <c r="E15" s="23">
        <f t="shared" si="0"/>
        <v>450</v>
      </c>
      <c r="F15" s="29"/>
    </row>
    <row r="16" spans="1:6" ht="30" customHeight="1" x14ac:dyDescent="0.25">
      <c r="A16" s="30" t="s">
        <v>62</v>
      </c>
      <c r="B16" s="31" t="s">
        <v>63</v>
      </c>
      <c r="C16" s="32" t="s">
        <v>234</v>
      </c>
      <c r="D16" s="33">
        <v>10</v>
      </c>
      <c r="E16" s="34">
        <f t="shared" si="0"/>
        <v>500</v>
      </c>
      <c r="F16" s="35"/>
    </row>
    <row r="17" spans="1:6" ht="30" customHeight="1" x14ac:dyDescent="0.25">
      <c r="A17" s="8" t="s">
        <v>65</v>
      </c>
      <c r="B17" s="11" t="s">
        <v>235</v>
      </c>
      <c r="C17" s="12" t="s">
        <v>236</v>
      </c>
      <c r="D17" s="19">
        <v>35</v>
      </c>
      <c r="E17" s="23">
        <f t="shared" si="0"/>
        <v>1750</v>
      </c>
      <c r="F17" s="29" t="s">
        <v>237</v>
      </c>
    </row>
    <row r="18" spans="1:6" x14ac:dyDescent="0.25">
      <c r="A18" s="15"/>
      <c r="B18" s="72" t="s">
        <v>238</v>
      </c>
      <c r="C18" s="73"/>
      <c r="D18" s="22">
        <f>SUM(D5:D17)</f>
        <v>312</v>
      </c>
      <c r="E18" s="37">
        <f>SUM(E5:E17)</f>
        <v>15600</v>
      </c>
      <c r="F18" s="15"/>
    </row>
    <row r="20" spans="1:6" ht="26.1" customHeight="1" x14ac:dyDescent="0.25">
      <c r="A20" s="67" t="s">
        <v>239</v>
      </c>
      <c r="B20" s="63"/>
      <c r="C20" s="63"/>
      <c r="D20" s="63"/>
      <c r="E20" s="63"/>
      <c r="F20" s="63"/>
    </row>
    <row r="21" spans="1:6" ht="26.1" customHeight="1" x14ac:dyDescent="0.25">
      <c r="A21" s="67" t="s">
        <v>240</v>
      </c>
      <c r="B21" s="63"/>
      <c r="C21" s="63"/>
      <c r="D21" s="63"/>
      <c r="E21" s="63"/>
      <c r="F21" s="63"/>
    </row>
    <row r="22" spans="1:6" ht="26.1" customHeight="1" x14ac:dyDescent="0.25">
      <c r="A22" s="67" t="s">
        <v>241</v>
      </c>
      <c r="B22" s="63"/>
      <c r="C22" s="63"/>
      <c r="D22" s="63"/>
      <c r="E22" s="63"/>
      <c r="F22" s="63"/>
    </row>
  </sheetData>
  <mergeCells count="6">
    <mergeCell ref="A2:F2"/>
    <mergeCell ref="A1:F1"/>
    <mergeCell ref="A22:F22"/>
    <mergeCell ref="B18:C18"/>
    <mergeCell ref="A21:F21"/>
    <mergeCell ref="A20:F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7"/>
  <sheetViews>
    <sheetView showGridLines="0" workbookViewId="0">
      <pane ySplit="4" topLeftCell="A23" activePane="bottomLeft" state="frozen"/>
      <selection pane="bottomLeft" sqref="A1:G1"/>
    </sheetView>
  </sheetViews>
  <sheetFormatPr defaultRowHeight="15" x14ac:dyDescent="0.25"/>
  <cols>
    <col min="1" max="1" width="7" customWidth="1"/>
    <col min="2" max="2" width="30" customWidth="1"/>
    <col min="3" max="4" width="12" customWidth="1"/>
    <col min="5" max="6" width="13" customWidth="1"/>
    <col min="7" max="7" width="26" customWidth="1"/>
  </cols>
  <sheetData>
    <row r="1" spans="1:7" ht="26.1" customHeight="1" x14ac:dyDescent="0.25">
      <c r="A1" s="68" t="s">
        <v>242</v>
      </c>
      <c r="B1" s="63"/>
      <c r="C1" s="63"/>
      <c r="D1" s="63"/>
      <c r="E1" s="63"/>
      <c r="F1" s="63"/>
      <c r="G1" s="63"/>
    </row>
    <row r="2" spans="1:7" x14ac:dyDescent="0.25">
      <c r="A2" s="71" t="s">
        <v>243</v>
      </c>
      <c r="B2" s="63"/>
      <c r="C2" s="63"/>
      <c r="D2" s="63"/>
      <c r="E2" s="63"/>
      <c r="F2" s="63"/>
      <c r="G2" s="63"/>
    </row>
    <row r="4" spans="1:7" ht="20.100000000000001" customHeight="1" x14ac:dyDescent="0.25">
      <c r="A4" s="62" t="s">
        <v>244</v>
      </c>
      <c r="B4" s="63"/>
      <c r="C4" s="63"/>
      <c r="D4" s="63"/>
      <c r="E4" s="63"/>
      <c r="F4" s="63"/>
      <c r="G4" s="63"/>
    </row>
    <row r="5" spans="1:7" ht="30" customHeight="1" x14ac:dyDescent="0.25">
      <c r="A5" s="1" t="s">
        <v>205</v>
      </c>
      <c r="B5" s="1" t="s">
        <v>29</v>
      </c>
      <c r="C5" s="1" t="s">
        <v>245</v>
      </c>
      <c r="D5" s="1" t="s">
        <v>246</v>
      </c>
      <c r="E5" s="1" t="s">
        <v>247</v>
      </c>
      <c r="F5" s="1" t="s">
        <v>248</v>
      </c>
      <c r="G5" s="1" t="s">
        <v>209</v>
      </c>
    </row>
    <row r="6" spans="1:7" ht="25.5" x14ac:dyDescent="0.25">
      <c r="A6" s="8" t="s">
        <v>210</v>
      </c>
      <c r="B6" s="12" t="s">
        <v>249</v>
      </c>
      <c r="C6" s="19">
        <v>32</v>
      </c>
      <c r="D6" s="19">
        <v>32</v>
      </c>
      <c r="E6" s="23">
        <f t="shared" ref="E6:E16" si="0">C6*Stawka</f>
        <v>1600</v>
      </c>
      <c r="F6" s="23">
        <f t="shared" ref="F6:F16" si="1">D6*Stawka</f>
        <v>1600</v>
      </c>
      <c r="G6" s="29"/>
    </row>
    <row r="7" spans="1:7" ht="25.5" x14ac:dyDescent="0.25">
      <c r="A7" s="30" t="s">
        <v>32</v>
      </c>
      <c r="B7" s="32" t="s">
        <v>250</v>
      </c>
      <c r="C7" s="33">
        <v>39</v>
      </c>
      <c r="D7" s="33">
        <v>59</v>
      </c>
      <c r="E7" s="34">
        <f t="shared" si="0"/>
        <v>1950</v>
      </c>
      <c r="F7" s="34">
        <f t="shared" si="1"/>
        <v>2950</v>
      </c>
      <c r="G7" s="35" t="s">
        <v>251</v>
      </c>
    </row>
    <row r="8" spans="1:7" x14ac:dyDescent="0.25">
      <c r="A8" s="8" t="s">
        <v>41</v>
      </c>
      <c r="B8" s="12" t="s">
        <v>221</v>
      </c>
      <c r="C8" s="19">
        <v>25</v>
      </c>
      <c r="D8" s="19">
        <v>25</v>
      </c>
      <c r="E8" s="23">
        <f t="shared" si="0"/>
        <v>1250</v>
      </c>
      <c r="F8" s="23">
        <f t="shared" si="1"/>
        <v>1250</v>
      </c>
      <c r="G8" s="29"/>
    </row>
    <row r="9" spans="1:7" x14ac:dyDescent="0.25">
      <c r="A9" s="30" t="s">
        <v>44</v>
      </c>
      <c r="B9" s="32" t="s">
        <v>223</v>
      </c>
      <c r="C9" s="33">
        <v>30</v>
      </c>
      <c r="D9" s="33">
        <v>30</v>
      </c>
      <c r="E9" s="34">
        <f t="shared" si="0"/>
        <v>1500</v>
      </c>
      <c r="F9" s="34">
        <f t="shared" si="1"/>
        <v>1500</v>
      </c>
      <c r="G9" s="35"/>
    </row>
    <row r="10" spans="1:7" x14ac:dyDescent="0.25">
      <c r="A10" s="8" t="s">
        <v>47</v>
      </c>
      <c r="B10" s="12" t="s">
        <v>252</v>
      </c>
      <c r="C10" s="19">
        <v>27</v>
      </c>
      <c r="D10" s="19">
        <v>27</v>
      </c>
      <c r="E10" s="23">
        <f t="shared" si="0"/>
        <v>1350</v>
      </c>
      <c r="F10" s="23">
        <f t="shared" si="1"/>
        <v>1350</v>
      </c>
      <c r="G10" s="29"/>
    </row>
    <row r="11" spans="1:7" ht="25.5" x14ac:dyDescent="0.25">
      <c r="A11" s="30" t="s">
        <v>50</v>
      </c>
      <c r="B11" s="32" t="s">
        <v>253</v>
      </c>
      <c r="C11" s="33">
        <v>29</v>
      </c>
      <c r="D11" s="33">
        <v>29</v>
      </c>
      <c r="E11" s="34">
        <f t="shared" si="0"/>
        <v>1450</v>
      </c>
      <c r="F11" s="34">
        <f t="shared" si="1"/>
        <v>1450</v>
      </c>
      <c r="G11" s="35"/>
    </row>
    <row r="12" spans="1:7" x14ac:dyDescent="0.25">
      <c r="A12" s="8" t="s">
        <v>53</v>
      </c>
      <c r="B12" s="12" t="s">
        <v>100</v>
      </c>
      <c r="C12" s="19">
        <v>14</v>
      </c>
      <c r="D12" s="19">
        <v>14</v>
      </c>
      <c r="E12" s="23">
        <f t="shared" si="0"/>
        <v>700</v>
      </c>
      <c r="F12" s="23">
        <f t="shared" si="1"/>
        <v>700</v>
      </c>
      <c r="G12" s="29"/>
    </row>
    <row r="13" spans="1:7" x14ac:dyDescent="0.25">
      <c r="A13" s="30" t="s">
        <v>56</v>
      </c>
      <c r="B13" s="32" t="s">
        <v>102</v>
      </c>
      <c r="C13" s="33">
        <v>17</v>
      </c>
      <c r="D13" s="33">
        <v>17</v>
      </c>
      <c r="E13" s="34">
        <f t="shared" si="0"/>
        <v>850</v>
      </c>
      <c r="F13" s="34">
        <f t="shared" si="1"/>
        <v>850</v>
      </c>
      <c r="G13" s="35"/>
    </row>
    <row r="14" spans="1:7" x14ac:dyDescent="0.25">
      <c r="A14" s="8" t="s">
        <v>59</v>
      </c>
      <c r="B14" s="12" t="s">
        <v>254</v>
      </c>
      <c r="C14" s="19">
        <v>18</v>
      </c>
      <c r="D14" s="19">
        <v>18</v>
      </c>
      <c r="E14" s="23">
        <f t="shared" si="0"/>
        <v>900</v>
      </c>
      <c r="F14" s="23">
        <f t="shared" si="1"/>
        <v>900</v>
      </c>
      <c r="G14" s="29"/>
    </row>
    <row r="15" spans="1:7" x14ac:dyDescent="0.25">
      <c r="A15" s="30" t="s">
        <v>62</v>
      </c>
      <c r="B15" s="32" t="s">
        <v>63</v>
      </c>
      <c r="C15" s="33">
        <v>11</v>
      </c>
      <c r="D15" s="33">
        <v>11</v>
      </c>
      <c r="E15" s="34">
        <f t="shared" si="0"/>
        <v>550</v>
      </c>
      <c r="F15" s="34">
        <f t="shared" si="1"/>
        <v>550</v>
      </c>
      <c r="G15" s="35"/>
    </row>
    <row r="16" spans="1:7" x14ac:dyDescent="0.25">
      <c r="A16" s="8" t="s">
        <v>65</v>
      </c>
      <c r="B16" s="12" t="s">
        <v>235</v>
      </c>
      <c r="C16" s="19">
        <v>42</v>
      </c>
      <c r="D16" s="19">
        <v>42</v>
      </c>
      <c r="E16" s="23">
        <f t="shared" si="0"/>
        <v>2100</v>
      </c>
      <c r="F16" s="23">
        <f t="shared" si="1"/>
        <v>2100</v>
      </c>
      <c r="G16" s="29"/>
    </row>
    <row r="17" spans="1:7" x14ac:dyDescent="0.25">
      <c r="A17" s="15"/>
      <c r="B17" s="6" t="s">
        <v>255</v>
      </c>
      <c r="C17" s="22">
        <f>SUM(C6:C16)</f>
        <v>284</v>
      </c>
      <c r="D17" s="22">
        <f>SUM(D6:D16)</f>
        <v>304</v>
      </c>
      <c r="E17" s="37">
        <f>SUM(E6:E16)</f>
        <v>14200</v>
      </c>
      <c r="F17" s="37">
        <f>SUM(F6:F16)</f>
        <v>15200</v>
      </c>
      <c r="G17" s="15"/>
    </row>
    <row r="19" spans="1:7" ht="20.100000000000001" customHeight="1" x14ac:dyDescent="0.25">
      <c r="A19" s="62" t="s">
        <v>256</v>
      </c>
      <c r="B19" s="63"/>
      <c r="C19" s="63"/>
      <c r="D19" s="63"/>
      <c r="E19" s="63"/>
      <c r="F19" s="63"/>
      <c r="G19" s="63"/>
    </row>
    <row r="20" spans="1:7" ht="30" customHeight="1" x14ac:dyDescent="0.25">
      <c r="A20" s="1" t="s">
        <v>205</v>
      </c>
      <c r="B20" s="1" t="s">
        <v>29</v>
      </c>
      <c r="C20" s="1" t="s">
        <v>257</v>
      </c>
      <c r="D20" s="1" t="s">
        <v>207</v>
      </c>
      <c r="E20" s="1" t="s">
        <v>208</v>
      </c>
      <c r="F20" s="1" t="s">
        <v>258</v>
      </c>
      <c r="G20" s="1" t="s">
        <v>209</v>
      </c>
    </row>
    <row r="21" spans="1:7" ht="51" x14ac:dyDescent="0.25">
      <c r="A21" s="8" t="s">
        <v>35</v>
      </c>
      <c r="B21" s="12" t="s">
        <v>216</v>
      </c>
      <c r="C21" s="12" t="s">
        <v>259</v>
      </c>
      <c r="D21" s="19">
        <v>48</v>
      </c>
      <c r="E21" s="23">
        <f t="shared" ref="E21:E26" si="2">D21*Stawka</f>
        <v>2400</v>
      </c>
      <c r="F21" s="10"/>
      <c r="G21" s="38"/>
    </row>
    <row r="22" spans="1:7" ht="51" x14ac:dyDescent="0.25">
      <c r="A22" s="30" t="s">
        <v>35</v>
      </c>
      <c r="B22" s="32" t="s">
        <v>216</v>
      </c>
      <c r="C22" s="32" t="s">
        <v>260</v>
      </c>
      <c r="D22" s="33">
        <v>83</v>
      </c>
      <c r="E22" s="34">
        <f t="shared" si="2"/>
        <v>4150</v>
      </c>
      <c r="F22" s="39"/>
      <c r="G22" s="40"/>
    </row>
    <row r="23" spans="1:7" ht="38.25" x14ac:dyDescent="0.25">
      <c r="A23" s="8" t="s">
        <v>38</v>
      </c>
      <c r="B23" s="12" t="s">
        <v>261</v>
      </c>
      <c r="C23" s="12" t="s">
        <v>262</v>
      </c>
      <c r="D23" s="19">
        <v>57</v>
      </c>
      <c r="E23" s="23">
        <f t="shared" si="2"/>
        <v>2850</v>
      </c>
      <c r="F23" s="10"/>
      <c r="G23" s="38"/>
    </row>
    <row r="24" spans="1:7" ht="51" x14ac:dyDescent="0.25">
      <c r="A24" s="30" t="s">
        <v>38</v>
      </c>
      <c r="B24" s="32" t="s">
        <v>261</v>
      </c>
      <c r="C24" s="32" t="s">
        <v>263</v>
      </c>
      <c r="D24" s="33">
        <v>97</v>
      </c>
      <c r="E24" s="34">
        <f t="shared" si="2"/>
        <v>4850</v>
      </c>
      <c r="F24" s="39"/>
      <c r="G24" s="40"/>
    </row>
    <row r="25" spans="1:7" ht="51" x14ac:dyDescent="0.25">
      <c r="A25" s="8" t="s">
        <v>50</v>
      </c>
      <c r="B25" s="12" t="s">
        <v>264</v>
      </c>
      <c r="C25" s="12" t="s">
        <v>265</v>
      </c>
      <c r="D25" s="19">
        <v>13</v>
      </c>
      <c r="E25" s="23">
        <f t="shared" si="2"/>
        <v>650</v>
      </c>
      <c r="F25" s="10"/>
      <c r="G25" s="38"/>
    </row>
    <row r="26" spans="1:7" ht="51" x14ac:dyDescent="0.25">
      <c r="A26" s="30" t="s">
        <v>50</v>
      </c>
      <c r="B26" s="32" t="s">
        <v>264</v>
      </c>
      <c r="C26" s="32" t="s">
        <v>266</v>
      </c>
      <c r="D26" s="33">
        <v>24</v>
      </c>
      <c r="E26" s="34">
        <f t="shared" si="2"/>
        <v>1200</v>
      </c>
      <c r="F26" s="39"/>
      <c r="G26" s="40"/>
    </row>
    <row r="28" spans="1:7" ht="20.100000000000001" customHeight="1" x14ac:dyDescent="0.25">
      <c r="A28" s="62" t="s">
        <v>267</v>
      </c>
      <c r="B28" s="63"/>
      <c r="C28" s="63"/>
      <c r="D28" s="63"/>
      <c r="E28" s="63"/>
      <c r="F28" s="63"/>
      <c r="G28" s="63"/>
    </row>
    <row r="29" spans="1:7" ht="30" customHeight="1" x14ac:dyDescent="0.25">
      <c r="A29" s="1" t="s">
        <v>268</v>
      </c>
      <c r="B29" s="1" t="s">
        <v>6</v>
      </c>
      <c r="C29" s="1" t="s">
        <v>258</v>
      </c>
      <c r="D29" s="1" t="s">
        <v>207</v>
      </c>
      <c r="E29" s="1" t="s">
        <v>208</v>
      </c>
      <c r="F29" s="1" t="s">
        <v>258</v>
      </c>
      <c r="G29" s="1" t="s">
        <v>209</v>
      </c>
    </row>
    <row r="30" spans="1:7" x14ac:dyDescent="0.25">
      <c r="A30" s="8" t="s">
        <v>269</v>
      </c>
      <c r="B30" s="66" t="s">
        <v>270</v>
      </c>
      <c r="C30" s="65"/>
      <c r="D30" s="19">
        <v>12</v>
      </c>
      <c r="E30" s="23">
        <f>D30*Stawka</f>
        <v>600</v>
      </c>
      <c r="F30" s="10"/>
      <c r="G30" s="10"/>
    </row>
    <row r="31" spans="1:7" x14ac:dyDescent="0.25">
      <c r="A31" s="8" t="s">
        <v>271</v>
      </c>
      <c r="B31" s="66" t="s">
        <v>272</v>
      </c>
      <c r="C31" s="65"/>
      <c r="D31" s="19">
        <v>35</v>
      </c>
      <c r="E31" s="23">
        <f>D31*Stawka</f>
        <v>1750</v>
      </c>
      <c r="F31" s="10"/>
      <c r="G31" s="10"/>
    </row>
    <row r="32" spans="1:7" x14ac:dyDescent="0.25">
      <c r="A32" s="8" t="s">
        <v>273</v>
      </c>
      <c r="B32" s="66" t="s">
        <v>274</v>
      </c>
      <c r="C32" s="65"/>
      <c r="D32" s="19">
        <v>40</v>
      </c>
      <c r="E32" s="23">
        <f>D32*Stawka</f>
        <v>2000</v>
      </c>
      <c r="F32" s="10"/>
      <c r="G32" s="10"/>
    </row>
    <row r="34" spans="1:7" ht="20.100000000000001" customHeight="1" x14ac:dyDescent="0.25">
      <c r="A34" s="62" t="s">
        <v>275</v>
      </c>
      <c r="B34" s="63"/>
      <c r="C34" s="63"/>
      <c r="D34" s="63"/>
      <c r="E34" s="63"/>
      <c r="F34" s="63"/>
      <c r="G34" s="63"/>
    </row>
    <row r="35" spans="1:7" ht="30" customHeight="1" x14ac:dyDescent="0.25">
      <c r="A35" s="1" t="s">
        <v>276</v>
      </c>
      <c r="B35" s="1" t="s">
        <v>277</v>
      </c>
      <c r="C35" s="1" t="s">
        <v>207</v>
      </c>
      <c r="D35" s="1" t="s">
        <v>173</v>
      </c>
      <c r="E35" s="1" t="s">
        <v>278</v>
      </c>
      <c r="F35" s="1" t="s">
        <v>279</v>
      </c>
      <c r="G35" s="1" t="s">
        <v>209</v>
      </c>
    </row>
    <row r="36" spans="1:7" ht="38.25" x14ac:dyDescent="0.25">
      <c r="A36" s="9" t="s">
        <v>280</v>
      </c>
      <c r="B36" s="4" t="s">
        <v>258</v>
      </c>
      <c r="C36" s="19">
        <v>402</v>
      </c>
      <c r="D36" s="23">
        <f t="shared" ref="D36:D45" si="3">C36*Stawka</f>
        <v>20100</v>
      </c>
      <c r="E36" s="23">
        <v>400</v>
      </c>
      <c r="F36" s="25">
        <f t="shared" ref="F36:F45" si="4">D36+E36</f>
        <v>20500</v>
      </c>
      <c r="G36" s="10"/>
    </row>
    <row r="37" spans="1:7" x14ac:dyDescent="0.25">
      <c r="A37" s="41" t="s">
        <v>281</v>
      </c>
      <c r="B37" s="42" t="s">
        <v>258</v>
      </c>
      <c r="C37" s="33">
        <v>437</v>
      </c>
      <c r="D37" s="34">
        <f t="shared" si="3"/>
        <v>21850</v>
      </c>
      <c r="E37" s="34">
        <v>400</v>
      </c>
      <c r="F37" s="25">
        <f t="shared" si="4"/>
        <v>22250</v>
      </c>
      <c r="G37" s="39"/>
    </row>
    <row r="38" spans="1:7" x14ac:dyDescent="0.25">
      <c r="A38" s="9" t="s">
        <v>282</v>
      </c>
      <c r="B38" s="4" t="s">
        <v>258</v>
      </c>
      <c r="C38" s="19">
        <v>453</v>
      </c>
      <c r="D38" s="23">
        <f t="shared" si="3"/>
        <v>22650</v>
      </c>
      <c r="E38" s="23">
        <v>400</v>
      </c>
      <c r="F38" s="25">
        <f t="shared" si="4"/>
        <v>23050</v>
      </c>
      <c r="G38" s="10"/>
    </row>
    <row r="39" spans="1:7" ht="38.25" x14ac:dyDescent="0.25">
      <c r="A39" s="41" t="s">
        <v>283</v>
      </c>
      <c r="B39" s="42" t="s">
        <v>258</v>
      </c>
      <c r="C39" s="33">
        <v>488</v>
      </c>
      <c r="D39" s="34">
        <f t="shared" si="3"/>
        <v>24400</v>
      </c>
      <c r="E39" s="34">
        <v>400</v>
      </c>
      <c r="F39" s="25">
        <f t="shared" si="4"/>
        <v>24800</v>
      </c>
      <c r="G39" s="39"/>
    </row>
    <row r="40" spans="1:7" ht="38.25" x14ac:dyDescent="0.25">
      <c r="A40" s="9" t="s">
        <v>284</v>
      </c>
      <c r="B40" s="4" t="s">
        <v>285</v>
      </c>
      <c r="C40" s="19">
        <v>434</v>
      </c>
      <c r="D40" s="23">
        <f t="shared" si="3"/>
        <v>21700</v>
      </c>
      <c r="E40" s="23">
        <v>400</v>
      </c>
      <c r="F40" s="25">
        <f t="shared" si="4"/>
        <v>22100</v>
      </c>
      <c r="G40" s="10"/>
    </row>
    <row r="41" spans="1:7" ht="38.25" x14ac:dyDescent="0.25">
      <c r="A41" s="41" t="s">
        <v>284</v>
      </c>
      <c r="B41" s="42" t="s">
        <v>286</v>
      </c>
      <c r="C41" s="33">
        <v>457</v>
      </c>
      <c r="D41" s="34">
        <f t="shared" si="3"/>
        <v>22850</v>
      </c>
      <c r="E41" s="34">
        <v>400</v>
      </c>
      <c r="F41" s="25">
        <f t="shared" si="4"/>
        <v>23250</v>
      </c>
      <c r="G41" s="39"/>
    </row>
    <row r="42" spans="1:7" ht="38.25" x14ac:dyDescent="0.25">
      <c r="A42" s="9" t="s">
        <v>284</v>
      </c>
      <c r="B42" s="4" t="s">
        <v>287</v>
      </c>
      <c r="C42" s="19">
        <v>462</v>
      </c>
      <c r="D42" s="23">
        <f t="shared" si="3"/>
        <v>23100</v>
      </c>
      <c r="E42" s="23">
        <v>400</v>
      </c>
      <c r="F42" s="25">
        <f t="shared" si="4"/>
        <v>23500</v>
      </c>
      <c r="G42" s="10"/>
    </row>
    <row r="43" spans="1:7" ht="38.25" x14ac:dyDescent="0.25">
      <c r="A43" s="41" t="s">
        <v>288</v>
      </c>
      <c r="B43" s="42" t="s">
        <v>285</v>
      </c>
      <c r="C43" s="33">
        <v>520</v>
      </c>
      <c r="D43" s="34">
        <f t="shared" si="3"/>
        <v>26000</v>
      </c>
      <c r="E43" s="34">
        <v>400</v>
      </c>
      <c r="F43" s="25">
        <f t="shared" si="4"/>
        <v>26400</v>
      </c>
      <c r="G43" s="39"/>
    </row>
    <row r="44" spans="1:7" ht="38.25" x14ac:dyDescent="0.25">
      <c r="A44" s="9" t="s">
        <v>288</v>
      </c>
      <c r="B44" s="4" t="s">
        <v>286</v>
      </c>
      <c r="C44" s="19">
        <v>543</v>
      </c>
      <c r="D44" s="23">
        <f t="shared" si="3"/>
        <v>27150</v>
      </c>
      <c r="E44" s="23">
        <v>400</v>
      </c>
      <c r="F44" s="25">
        <f t="shared" si="4"/>
        <v>27550</v>
      </c>
      <c r="G44" s="10"/>
    </row>
    <row r="45" spans="1:7" ht="38.25" x14ac:dyDescent="0.25">
      <c r="A45" s="41" t="s">
        <v>288</v>
      </c>
      <c r="B45" s="42" t="s">
        <v>287</v>
      </c>
      <c r="C45" s="33">
        <v>548</v>
      </c>
      <c r="D45" s="34">
        <f t="shared" si="3"/>
        <v>27400</v>
      </c>
      <c r="E45" s="34">
        <v>400</v>
      </c>
      <c r="F45" s="25">
        <f t="shared" si="4"/>
        <v>27800</v>
      </c>
      <c r="G45" s="39"/>
    </row>
    <row r="47" spans="1:7" x14ac:dyDescent="0.25">
      <c r="A47" s="74" t="s">
        <v>289</v>
      </c>
      <c r="B47" s="63"/>
      <c r="C47" s="63"/>
      <c r="D47" s="63"/>
      <c r="E47" s="63"/>
      <c r="F47" s="63"/>
      <c r="G47" s="63"/>
    </row>
  </sheetData>
  <mergeCells count="10">
    <mergeCell ref="A47:G47"/>
    <mergeCell ref="A28:G28"/>
    <mergeCell ref="B30:C30"/>
    <mergeCell ref="A1:G1"/>
    <mergeCell ref="A34:G34"/>
    <mergeCell ref="A4:G4"/>
    <mergeCell ref="A2:G2"/>
    <mergeCell ref="B32:C32"/>
    <mergeCell ref="B31:C31"/>
    <mergeCell ref="A19:G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5"/>
  <sheetViews>
    <sheetView showGridLines="0" workbookViewId="0">
      <pane ySplit="4" topLeftCell="A20" activePane="bottomLeft" state="frozen"/>
      <selection pane="bottomLeft" sqref="A1:E1"/>
    </sheetView>
  </sheetViews>
  <sheetFormatPr defaultRowHeight="15" x14ac:dyDescent="0.25"/>
  <cols>
    <col min="1" max="1" width="7" customWidth="1"/>
    <col min="2" max="2" width="50" customWidth="1"/>
    <col min="3" max="3" width="11" customWidth="1"/>
    <col min="4" max="4" width="14" customWidth="1"/>
    <col min="5" max="5" width="30" customWidth="1"/>
  </cols>
  <sheetData>
    <row r="1" spans="1:5" ht="26.1" customHeight="1" x14ac:dyDescent="0.25">
      <c r="A1" s="68" t="s">
        <v>290</v>
      </c>
      <c r="B1" s="63"/>
      <c r="C1" s="63"/>
      <c r="D1" s="63"/>
      <c r="E1" s="63"/>
    </row>
    <row r="2" spans="1:5" x14ac:dyDescent="0.25">
      <c r="A2" s="71" t="s">
        <v>291</v>
      </c>
      <c r="B2" s="63"/>
      <c r="C2" s="63"/>
      <c r="D2" s="63"/>
      <c r="E2" s="63"/>
    </row>
    <row r="4" spans="1:5" ht="30" customHeight="1" x14ac:dyDescent="0.25">
      <c r="A4" s="1" t="s">
        <v>205</v>
      </c>
      <c r="B4" s="1" t="s">
        <v>292</v>
      </c>
      <c r="C4" s="1" t="s">
        <v>207</v>
      </c>
      <c r="D4" s="1" t="s">
        <v>208</v>
      </c>
      <c r="E4" s="1" t="s">
        <v>209</v>
      </c>
    </row>
    <row r="5" spans="1:5" ht="18" customHeight="1" x14ac:dyDescent="0.25">
      <c r="A5" s="62" t="s">
        <v>293</v>
      </c>
      <c r="B5" s="63"/>
      <c r="C5" s="63"/>
      <c r="D5" s="63"/>
      <c r="E5" s="63"/>
    </row>
    <row r="6" spans="1:5" ht="25.5" x14ac:dyDescent="0.25">
      <c r="A6" s="10"/>
      <c r="B6" s="12" t="s">
        <v>294</v>
      </c>
      <c r="C6" s="19">
        <v>16</v>
      </c>
      <c r="D6" s="23">
        <f t="shared" ref="D6:D12" si="0">C6*Stawka</f>
        <v>800</v>
      </c>
      <c r="E6" s="29"/>
    </row>
    <row r="7" spans="1:5" x14ac:dyDescent="0.25">
      <c r="A7" s="10"/>
      <c r="B7" s="12" t="s">
        <v>295</v>
      </c>
      <c r="C7" s="19">
        <v>8</v>
      </c>
      <c r="D7" s="23">
        <f t="shared" si="0"/>
        <v>400</v>
      </c>
      <c r="E7" s="29"/>
    </row>
    <row r="8" spans="1:5" ht="25.5" x14ac:dyDescent="0.25">
      <c r="A8" s="10"/>
      <c r="B8" s="12" t="s">
        <v>296</v>
      </c>
      <c r="C8" s="19">
        <v>24</v>
      </c>
      <c r="D8" s="23">
        <f t="shared" si="0"/>
        <v>1200</v>
      </c>
      <c r="E8" s="29" t="s">
        <v>297</v>
      </c>
    </row>
    <row r="9" spans="1:5" ht="25.5" x14ac:dyDescent="0.25">
      <c r="A9" s="10"/>
      <c r="B9" s="12" t="s">
        <v>298</v>
      </c>
      <c r="C9" s="19">
        <v>24</v>
      </c>
      <c r="D9" s="23">
        <f t="shared" si="0"/>
        <v>1200</v>
      </c>
      <c r="E9" s="29"/>
    </row>
    <row r="10" spans="1:5" x14ac:dyDescent="0.25">
      <c r="A10" s="10"/>
      <c r="B10" s="12" t="s">
        <v>299</v>
      </c>
      <c r="C10" s="19">
        <v>10</v>
      </c>
      <c r="D10" s="23">
        <f t="shared" si="0"/>
        <v>500</v>
      </c>
      <c r="E10" s="29"/>
    </row>
    <row r="11" spans="1:5" x14ac:dyDescent="0.25">
      <c r="A11" s="10"/>
      <c r="B11" s="12" t="s">
        <v>300</v>
      </c>
      <c r="C11" s="19">
        <v>12</v>
      </c>
      <c r="D11" s="23">
        <f t="shared" si="0"/>
        <v>600</v>
      </c>
      <c r="E11" s="29"/>
    </row>
    <row r="12" spans="1:5" x14ac:dyDescent="0.25">
      <c r="A12" s="10"/>
      <c r="B12" s="12" t="s">
        <v>301</v>
      </c>
      <c r="C12" s="19">
        <v>10</v>
      </c>
      <c r="D12" s="23">
        <f t="shared" si="0"/>
        <v>500</v>
      </c>
      <c r="E12" s="29" t="s">
        <v>302</v>
      </c>
    </row>
    <row r="13" spans="1:5" x14ac:dyDescent="0.25">
      <c r="A13" s="16"/>
      <c r="B13" s="43" t="s">
        <v>303</v>
      </c>
      <c r="C13" s="21">
        <f>SUM(C6:C12)</f>
        <v>104</v>
      </c>
      <c r="D13" s="44">
        <f>SUM(D6:D12)</f>
        <v>5200</v>
      </c>
      <c r="E13" s="16"/>
    </row>
    <row r="14" spans="1:5" ht="18" customHeight="1" x14ac:dyDescent="0.25">
      <c r="A14" s="62" t="s">
        <v>304</v>
      </c>
      <c r="B14" s="63"/>
      <c r="C14" s="63"/>
      <c r="D14" s="63"/>
      <c r="E14" s="63"/>
    </row>
    <row r="15" spans="1:5" ht="25.5" x14ac:dyDescent="0.25">
      <c r="A15" s="10"/>
      <c r="B15" s="12" t="s">
        <v>305</v>
      </c>
      <c r="C15" s="19">
        <v>30</v>
      </c>
      <c r="D15" s="23">
        <f>C15*Stawka</f>
        <v>1500</v>
      </c>
      <c r="E15" s="29" t="s">
        <v>306</v>
      </c>
    </row>
    <row r="16" spans="1:5" ht="25.5" x14ac:dyDescent="0.25">
      <c r="A16" s="10"/>
      <c r="B16" s="12" t="s">
        <v>307</v>
      </c>
      <c r="C16" s="19">
        <v>40</v>
      </c>
      <c r="D16" s="23">
        <f>C16*Stawka</f>
        <v>2000</v>
      </c>
      <c r="E16" s="29"/>
    </row>
    <row r="17" spans="1:5" ht="25.5" x14ac:dyDescent="0.25">
      <c r="A17" s="10"/>
      <c r="B17" s="12" t="s">
        <v>308</v>
      </c>
      <c r="C17" s="19">
        <v>20</v>
      </c>
      <c r="D17" s="23">
        <f>C17*Stawka</f>
        <v>1000</v>
      </c>
      <c r="E17" s="29"/>
    </row>
    <row r="18" spans="1:5" ht="25.5" x14ac:dyDescent="0.25">
      <c r="A18" s="10"/>
      <c r="B18" s="12" t="s">
        <v>309</v>
      </c>
      <c r="C18" s="19">
        <v>16</v>
      </c>
      <c r="D18" s="23">
        <f>C18*Stawka</f>
        <v>800</v>
      </c>
      <c r="E18" s="29"/>
    </row>
    <row r="19" spans="1:5" x14ac:dyDescent="0.25">
      <c r="A19" s="10"/>
      <c r="B19" s="12" t="s">
        <v>310</v>
      </c>
      <c r="C19" s="19">
        <v>14</v>
      </c>
      <c r="D19" s="23">
        <f>C19*Stawka</f>
        <v>700</v>
      </c>
      <c r="E19" s="29"/>
    </row>
    <row r="20" spans="1:5" x14ac:dyDescent="0.25">
      <c r="A20" s="16"/>
      <c r="B20" s="43" t="s">
        <v>311</v>
      </c>
      <c r="C20" s="21">
        <f>SUM(C15:C19)</f>
        <v>120</v>
      </c>
      <c r="D20" s="44">
        <f>SUM(D15:D19)</f>
        <v>6000</v>
      </c>
      <c r="E20" s="16"/>
    </row>
    <row r="21" spans="1:5" ht="18" customHeight="1" x14ac:dyDescent="0.25">
      <c r="A21" s="62" t="s">
        <v>312</v>
      </c>
      <c r="B21" s="63"/>
      <c r="C21" s="63"/>
      <c r="D21" s="63"/>
      <c r="E21" s="63"/>
    </row>
    <row r="22" spans="1:5" x14ac:dyDescent="0.25">
      <c r="A22" s="10"/>
      <c r="B22" s="12" t="s">
        <v>313</v>
      </c>
      <c r="C22" s="19">
        <v>16</v>
      </c>
      <c r="D22" s="23">
        <f>C22*Stawka</f>
        <v>800</v>
      </c>
      <c r="E22" s="29"/>
    </row>
    <row r="23" spans="1:5" ht="25.5" x14ac:dyDescent="0.25">
      <c r="A23" s="10"/>
      <c r="B23" s="12" t="s">
        <v>314</v>
      </c>
      <c r="C23" s="19">
        <v>24</v>
      </c>
      <c r="D23" s="23">
        <f>C23*Stawka</f>
        <v>1200</v>
      </c>
      <c r="E23" s="29"/>
    </row>
    <row r="24" spans="1:5" x14ac:dyDescent="0.25">
      <c r="A24" s="10"/>
      <c r="B24" s="12" t="s">
        <v>315</v>
      </c>
      <c r="C24" s="19">
        <v>16</v>
      </c>
      <c r="D24" s="23">
        <f>C24*Stawka</f>
        <v>800</v>
      </c>
      <c r="E24" s="29"/>
    </row>
    <row r="25" spans="1:5" x14ac:dyDescent="0.25">
      <c r="A25" s="10"/>
      <c r="B25" s="12" t="s">
        <v>316</v>
      </c>
      <c r="C25" s="19">
        <v>8</v>
      </c>
      <c r="D25" s="23">
        <f>C25*Stawka</f>
        <v>400</v>
      </c>
      <c r="E25" s="29"/>
    </row>
    <row r="26" spans="1:5" x14ac:dyDescent="0.25">
      <c r="A26" s="10"/>
      <c r="B26" s="12" t="s">
        <v>317</v>
      </c>
      <c r="C26" s="19">
        <v>12</v>
      </c>
      <c r="D26" s="23">
        <f>C26*Stawka</f>
        <v>600</v>
      </c>
      <c r="E26" s="29"/>
    </row>
    <row r="27" spans="1:5" x14ac:dyDescent="0.25">
      <c r="A27" s="16"/>
      <c r="B27" s="43" t="s">
        <v>318</v>
      </c>
      <c r="C27" s="21">
        <f>SUM(C22:C26)</f>
        <v>76</v>
      </c>
      <c r="D27" s="44">
        <f>SUM(D22:D26)</f>
        <v>3800</v>
      </c>
      <c r="E27" s="16"/>
    </row>
    <row r="28" spans="1:5" ht="18" customHeight="1" x14ac:dyDescent="0.25">
      <c r="A28" s="62" t="s">
        <v>319</v>
      </c>
      <c r="B28" s="63"/>
      <c r="C28" s="63"/>
      <c r="D28" s="63"/>
      <c r="E28" s="63"/>
    </row>
    <row r="29" spans="1:5" ht="25.5" x14ac:dyDescent="0.25">
      <c r="A29" s="10"/>
      <c r="B29" s="12" t="s">
        <v>320</v>
      </c>
      <c r="C29" s="19">
        <v>60</v>
      </c>
      <c r="D29" s="23">
        <f t="shared" ref="D29:D34" si="1">C29*Stawka</f>
        <v>3000</v>
      </c>
      <c r="E29" s="29" t="s">
        <v>321</v>
      </c>
    </row>
    <row r="30" spans="1:5" x14ac:dyDescent="0.25">
      <c r="A30" s="10"/>
      <c r="B30" s="12" t="s">
        <v>322</v>
      </c>
      <c r="C30" s="19">
        <v>16</v>
      </c>
      <c r="D30" s="23">
        <f t="shared" si="1"/>
        <v>800</v>
      </c>
      <c r="E30" s="29"/>
    </row>
    <row r="31" spans="1:5" x14ac:dyDescent="0.25">
      <c r="A31" s="10"/>
      <c r="B31" s="12" t="s">
        <v>323</v>
      </c>
      <c r="C31" s="19">
        <v>16</v>
      </c>
      <c r="D31" s="23">
        <f t="shared" si="1"/>
        <v>800</v>
      </c>
      <c r="E31" s="29"/>
    </row>
    <row r="32" spans="1:5" x14ac:dyDescent="0.25">
      <c r="A32" s="10"/>
      <c r="B32" s="12" t="s">
        <v>324</v>
      </c>
      <c r="C32" s="19">
        <v>10</v>
      </c>
      <c r="D32" s="23">
        <f t="shared" si="1"/>
        <v>500</v>
      </c>
      <c r="E32" s="29"/>
    </row>
    <row r="33" spans="1:5" ht="25.5" x14ac:dyDescent="0.25">
      <c r="A33" s="10"/>
      <c r="B33" s="12" t="s">
        <v>325</v>
      </c>
      <c r="C33" s="19">
        <v>16</v>
      </c>
      <c r="D33" s="23">
        <f t="shared" si="1"/>
        <v>800</v>
      </c>
      <c r="E33" s="29"/>
    </row>
    <row r="34" spans="1:5" x14ac:dyDescent="0.25">
      <c r="A34" s="10"/>
      <c r="B34" s="12" t="s">
        <v>326</v>
      </c>
      <c r="C34" s="19">
        <v>12</v>
      </c>
      <c r="D34" s="23">
        <f t="shared" si="1"/>
        <v>600</v>
      </c>
      <c r="E34" s="29"/>
    </row>
    <row r="35" spans="1:5" x14ac:dyDescent="0.25">
      <c r="A35" s="16"/>
      <c r="B35" s="43" t="s">
        <v>327</v>
      </c>
      <c r="C35" s="21">
        <f>SUM(C29:C34)</f>
        <v>130</v>
      </c>
      <c r="D35" s="44">
        <f>SUM(D29:D34)</f>
        <v>6500</v>
      </c>
      <c r="E35" s="16"/>
    </row>
    <row r="36" spans="1:5" ht="18" customHeight="1" x14ac:dyDescent="0.25">
      <c r="A36" s="62" t="s">
        <v>328</v>
      </c>
      <c r="B36" s="63"/>
      <c r="C36" s="63"/>
      <c r="D36" s="63"/>
      <c r="E36" s="63"/>
    </row>
    <row r="37" spans="1:5" ht="25.5" x14ac:dyDescent="0.25">
      <c r="A37" s="10"/>
      <c r="B37" s="12" t="s">
        <v>329</v>
      </c>
      <c r="C37" s="19">
        <v>12</v>
      </c>
      <c r="D37" s="23">
        <f t="shared" ref="D37:D42" si="2">C37*Stawka</f>
        <v>600</v>
      </c>
      <c r="E37" s="29"/>
    </row>
    <row r="38" spans="1:5" x14ac:dyDescent="0.25">
      <c r="A38" s="10"/>
      <c r="B38" s="12" t="s">
        <v>330</v>
      </c>
      <c r="C38" s="19">
        <v>12</v>
      </c>
      <c r="D38" s="23">
        <f t="shared" si="2"/>
        <v>600</v>
      </c>
      <c r="E38" s="29"/>
    </row>
    <row r="39" spans="1:5" x14ac:dyDescent="0.25">
      <c r="A39" s="10"/>
      <c r="B39" s="12" t="s">
        <v>331</v>
      </c>
      <c r="C39" s="19">
        <v>24</v>
      </c>
      <c r="D39" s="23">
        <f t="shared" si="2"/>
        <v>1200</v>
      </c>
      <c r="E39" s="29"/>
    </row>
    <row r="40" spans="1:5" x14ac:dyDescent="0.25">
      <c r="A40" s="10"/>
      <c r="B40" s="12" t="s">
        <v>332</v>
      </c>
      <c r="C40" s="19">
        <v>28</v>
      </c>
      <c r="D40" s="23">
        <f t="shared" si="2"/>
        <v>1400</v>
      </c>
      <c r="E40" s="29"/>
    </row>
    <row r="41" spans="1:5" ht="25.5" x14ac:dyDescent="0.25">
      <c r="A41" s="10"/>
      <c r="B41" s="12" t="s">
        <v>333</v>
      </c>
      <c r="C41" s="19">
        <v>16</v>
      </c>
      <c r="D41" s="23">
        <f t="shared" si="2"/>
        <v>800</v>
      </c>
      <c r="E41" s="29"/>
    </row>
    <row r="42" spans="1:5" x14ac:dyDescent="0.25">
      <c r="A42" s="10"/>
      <c r="B42" s="12" t="s">
        <v>235</v>
      </c>
      <c r="C42" s="19">
        <v>10</v>
      </c>
      <c r="D42" s="23">
        <f t="shared" si="2"/>
        <v>500</v>
      </c>
      <c r="E42" s="29"/>
    </row>
    <row r="43" spans="1:5" x14ac:dyDescent="0.25">
      <c r="A43" s="16"/>
      <c r="B43" s="43" t="s">
        <v>334</v>
      </c>
      <c r="C43" s="21">
        <f>SUM(C37:C42)</f>
        <v>102</v>
      </c>
      <c r="D43" s="44">
        <f>SUM(D37:D42)</f>
        <v>5100</v>
      </c>
      <c r="E43" s="16"/>
    </row>
    <row r="44" spans="1:5" ht="18" customHeight="1" x14ac:dyDescent="0.25">
      <c r="A44" s="62" t="s">
        <v>335</v>
      </c>
      <c r="B44" s="63"/>
      <c r="C44" s="63"/>
      <c r="D44" s="63"/>
      <c r="E44" s="63"/>
    </row>
    <row r="45" spans="1:5" ht="25.5" x14ac:dyDescent="0.25">
      <c r="A45" s="10"/>
      <c r="B45" s="12" t="s">
        <v>336</v>
      </c>
      <c r="C45" s="19">
        <v>16</v>
      </c>
      <c r="D45" s="23">
        <f t="shared" ref="D45:D50" si="3">C45*Stawka</f>
        <v>800</v>
      </c>
      <c r="E45" s="29"/>
    </row>
    <row r="46" spans="1:5" x14ac:dyDescent="0.25">
      <c r="A46" s="10"/>
      <c r="B46" s="12" t="s">
        <v>337</v>
      </c>
      <c r="C46" s="19">
        <v>16</v>
      </c>
      <c r="D46" s="23">
        <f t="shared" si="3"/>
        <v>800</v>
      </c>
      <c r="E46" s="29"/>
    </row>
    <row r="47" spans="1:5" x14ac:dyDescent="0.25">
      <c r="A47" s="10"/>
      <c r="B47" s="12" t="s">
        <v>338</v>
      </c>
      <c r="C47" s="19">
        <v>14</v>
      </c>
      <c r="D47" s="23">
        <f t="shared" si="3"/>
        <v>700</v>
      </c>
      <c r="E47" s="29"/>
    </row>
    <row r="48" spans="1:5" x14ac:dyDescent="0.25">
      <c r="A48" s="10"/>
      <c r="B48" s="12" t="s">
        <v>339</v>
      </c>
      <c r="C48" s="19">
        <v>12</v>
      </c>
      <c r="D48" s="23">
        <f t="shared" si="3"/>
        <v>600</v>
      </c>
      <c r="E48" s="29"/>
    </row>
    <row r="49" spans="1:5" x14ac:dyDescent="0.25">
      <c r="A49" s="10"/>
      <c r="B49" s="12" t="s">
        <v>340</v>
      </c>
      <c r="C49" s="19">
        <v>8</v>
      </c>
      <c r="D49" s="23">
        <f t="shared" si="3"/>
        <v>400</v>
      </c>
      <c r="E49" s="29"/>
    </row>
    <row r="50" spans="1:5" x14ac:dyDescent="0.25">
      <c r="A50" s="10"/>
      <c r="B50" s="12" t="s">
        <v>235</v>
      </c>
      <c r="C50" s="19">
        <v>8</v>
      </c>
      <c r="D50" s="23">
        <f t="shared" si="3"/>
        <v>400</v>
      </c>
      <c r="E50" s="29"/>
    </row>
    <row r="51" spans="1:5" x14ac:dyDescent="0.25">
      <c r="A51" s="16"/>
      <c r="B51" s="43" t="s">
        <v>341</v>
      </c>
      <c r="C51" s="21">
        <f>SUM(C45:C50)</f>
        <v>74</v>
      </c>
      <c r="D51" s="44">
        <f>SUM(D45:D50)</f>
        <v>3700</v>
      </c>
      <c r="E51" s="16"/>
    </row>
    <row r="52" spans="1:5" ht="18" customHeight="1" x14ac:dyDescent="0.25">
      <c r="A52" s="62" t="s">
        <v>342</v>
      </c>
      <c r="B52" s="63"/>
      <c r="C52" s="63"/>
      <c r="D52" s="63"/>
      <c r="E52" s="63"/>
    </row>
    <row r="53" spans="1:5" ht="25.5" x14ac:dyDescent="0.25">
      <c r="A53" s="10"/>
      <c r="B53" s="12" t="s">
        <v>343</v>
      </c>
      <c r="C53" s="19">
        <v>28</v>
      </c>
      <c r="D53" s="23">
        <f>C53*Stawka</f>
        <v>1400</v>
      </c>
      <c r="E53" s="29"/>
    </row>
    <row r="54" spans="1:5" x14ac:dyDescent="0.25">
      <c r="A54" s="10"/>
      <c r="B54" s="12" t="s">
        <v>344</v>
      </c>
      <c r="C54" s="19">
        <v>10</v>
      </c>
      <c r="D54" s="23">
        <f>C54*Stawka</f>
        <v>500</v>
      </c>
      <c r="E54" s="29"/>
    </row>
    <row r="55" spans="1:5" x14ac:dyDescent="0.25">
      <c r="A55" s="10"/>
      <c r="B55" s="12" t="s">
        <v>345</v>
      </c>
      <c r="C55" s="19">
        <v>8</v>
      </c>
      <c r="D55" s="23">
        <f>C55*Stawka</f>
        <v>400</v>
      </c>
      <c r="E55" s="29"/>
    </row>
    <row r="56" spans="1:5" x14ac:dyDescent="0.25">
      <c r="A56" s="10"/>
      <c r="B56" s="12" t="s">
        <v>235</v>
      </c>
      <c r="C56" s="19">
        <v>8</v>
      </c>
      <c r="D56" s="23">
        <f>C56*Stawka</f>
        <v>400</v>
      </c>
      <c r="E56" s="29"/>
    </row>
    <row r="57" spans="1:5" x14ac:dyDescent="0.25">
      <c r="A57" s="16"/>
      <c r="B57" s="43" t="s">
        <v>346</v>
      </c>
      <c r="C57" s="21">
        <f>SUM(C53:C56)</f>
        <v>54</v>
      </c>
      <c r="D57" s="44">
        <f>SUM(D53:D56)</f>
        <v>2700</v>
      </c>
      <c r="E57" s="16"/>
    </row>
    <row r="58" spans="1:5" ht="18" customHeight="1" x14ac:dyDescent="0.25">
      <c r="A58" s="62" t="s">
        <v>347</v>
      </c>
      <c r="B58" s="63"/>
      <c r="C58" s="63"/>
      <c r="D58" s="63"/>
      <c r="E58" s="63"/>
    </row>
    <row r="59" spans="1:5" x14ac:dyDescent="0.25">
      <c r="A59" s="10"/>
      <c r="B59" s="12" t="s">
        <v>348</v>
      </c>
      <c r="C59" s="19">
        <v>16</v>
      </c>
      <c r="D59" s="23">
        <f>C59*Stawka</f>
        <v>800</v>
      </c>
      <c r="E59" s="29"/>
    </row>
    <row r="60" spans="1:5" x14ac:dyDescent="0.25">
      <c r="A60" s="10"/>
      <c r="B60" s="12" t="s">
        <v>349</v>
      </c>
      <c r="C60" s="19">
        <v>12</v>
      </c>
      <c r="D60" s="23">
        <f>C60*Stawka</f>
        <v>600</v>
      </c>
      <c r="E60" s="29"/>
    </row>
    <row r="61" spans="1:5" x14ac:dyDescent="0.25">
      <c r="A61" s="10"/>
      <c r="B61" s="12" t="s">
        <v>350</v>
      </c>
      <c r="C61" s="19">
        <v>10</v>
      </c>
      <c r="D61" s="23">
        <f>C61*Stawka</f>
        <v>500</v>
      </c>
      <c r="E61" s="29"/>
    </row>
    <row r="62" spans="1:5" x14ac:dyDescent="0.25">
      <c r="A62" s="10"/>
      <c r="B62" s="12" t="s">
        <v>235</v>
      </c>
      <c r="C62" s="19">
        <v>6</v>
      </c>
      <c r="D62" s="23">
        <f>C62*Stawka</f>
        <v>300</v>
      </c>
      <c r="E62" s="29"/>
    </row>
    <row r="63" spans="1:5" x14ac:dyDescent="0.25">
      <c r="A63" s="16"/>
      <c r="B63" s="43" t="s">
        <v>351</v>
      </c>
      <c r="C63" s="21">
        <f>SUM(C59:C62)</f>
        <v>44</v>
      </c>
      <c r="D63" s="44">
        <f>SUM(D59:D62)</f>
        <v>2200</v>
      </c>
      <c r="E63" s="16"/>
    </row>
    <row r="64" spans="1:5" ht="18" customHeight="1" x14ac:dyDescent="0.25">
      <c r="A64" s="62" t="s">
        <v>352</v>
      </c>
      <c r="B64" s="63"/>
      <c r="C64" s="63"/>
      <c r="D64" s="63"/>
      <c r="E64" s="63"/>
    </row>
    <row r="65" spans="1:5" x14ac:dyDescent="0.25">
      <c r="A65" s="10"/>
      <c r="B65" s="12" t="s">
        <v>353</v>
      </c>
      <c r="C65" s="19">
        <v>18</v>
      </c>
      <c r="D65" s="23">
        <f>C65*Stawka</f>
        <v>900</v>
      </c>
      <c r="E65" s="29"/>
    </row>
    <row r="66" spans="1:5" x14ac:dyDescent="0.25">
      <c r="A66" s="10"/>
      <c r="B66" s="12" t="s">
        <v>354</v>
      </c>
      <c r="C66" s="19">
        <v>16</v>
      </c>
      <c r="D66" s="23">
        <f>C66*Stawka</f>
        <v>800</v>
      </c>
      <c r="E66" s="29"/>
    </row>
    <row r="67" spans="1:5" x14ac:dyDescent="0.25">
      <c r="A67" s="10"/>
      <c r="B67" s="12" t="s">
        <v>355</v>
      </c>
      <c r="C67" s="19">
        <v>12</v>
      </c>
      <c r="D67" s="23">
        <f>C67*Stawka</f>
        <v>600</v>
      </c>
      <c r="E67" s="29" t="s">
        <v>356</v>
      </c>
    </row>
    <row r="68" spans="1:5" x14ac:dyDescent="0.25">
      <c r="A68" s="10"/>
      <c r="B68" s="12" t="s">
        <v>235</v>
      </c>
      <c r="C68" s="19">
        <v>6</v>
      </c>
      <c r="D68" s="23">
        <f>C68*Stawka</f>
        <v>300</v>
      </c>
      <c r="E68" s="29"/>
    </row>
    <row r="69" spans="1:5" x14ac:dyDescent="0.25">
      <c r="A69" s="16"/>
      <c r="B69" s="43" t="s">
        <v>357</v>
      </c>
      <c r="C69" s="21">
        <f>SUM(C65:C68)</f>
        <v>52</v>
      </c>
      <c r="D69" s="44">
        <f>SUM(D65:D68)</f>
        <v>2600</v>
      </c>
      <c r="E69" s="16"/>
    </row>
    <row r="70" spans="1:5" ht="18" customHeight="1" x14ac:dyDescent="0.25">
      <c r="A70" s="62" t="s">
        <v>358</v>
      </c>
      <c r="B70" s="63"/>
      <c r="C70" s="63"/>
      <c r="D70" s="63"/>
      <c r="E70" s="63"/>
    </row>
    <row r="71" spans="1:5" ht="25.5" x14ac:dyDescent="0.25">
      <c r="A71" s="10"/>
      <c r="B71" s="12" t="s">
        <v>359</v>
      </c>
      <c r="C71" s="19">
        <v>20</v>
      </c>
      <c r="D71" s="23">
        <f>C71*Stawka</f>
        <v>1000</v>
      </c>
      <c r="E71" s="29"/>
    </row>
    <row r="72" spans="1:5" x14ac:dyDescent="0.25">
      <c r="A72" s="10"/>
      <c r="B72" s="12" t="s">
        <v>360</v>
      </c>
      <c r="C72" s="19">
        <v>16</v>
      </c>
      <c r="D72" s="23">
        <f>C72*Stawka</f>
        <v>800</v>
      </c>
      <c r="E72" s="29"/>
    </row>
    <row r="73" spans="1:5" x14ac:dyDescent="0.25">
      <c r="A73" s="10"/>
      <c r="B73" s="12" t="s">
        <v>361</v>
      </c>
      <c r="C73" s="19">
        <v>8</v>
      </c>
      <c r="D73" s="23">
        <f>C73*Stawka</f>
        <v>400</v>
      </c>
      <c r="E73" s="29"/>
    </row>
    <row r="74" spans="1:5" x14ac:dyDescent="0.25">
      <c r="A74" s="10"/>
      <c r="B74" s="12" t="s">
        <v>235</v>
      </c>
      <c r="C74" s="19">
        <v>8</v>
      </c>
      <c r="D74" s="23">
        <f>C74*Stawka</f>
        <v>400</v>
      </c>
      <c r="E74" s="29"/>
    </row>
    <row r="75" spans="1:5" x14ac:dyDescent="0.25">
      <c r="A75" s="16"/>
      <c r="B75" s="43" t="s">
        <v>362</v>
      </c>
      <c r="C75" s="21">
        <f>SUM(C71:C74)</f>
        <v>52</v>
      </c>
      <c r="D75" s="44">
        <f>SUM(D71:D74)</f>
        <v>2600</v>
      </c>
      <c r="E75" s="16"/>
    </row>
    <row r="76" spans="1:5" ht="18" customHeight="1" x14ac:dyDescent="0.25">
      <c r="A76" s="62" t="s">
        <v>363</v>
      </c>
      <c r="B76" s="63"/>
      <c r="C76" s="63"/>
      <c r="D76" s="63"/>
      <c r="E76" s="63"/>
    </row>
    <row r="77" spans="1:5" x14ac:dyDescent="0.25">
      <c r="A77" s="10"/>
      <c r="B77" s="12" t="s">
        <v>364</v>
      </c>
      <c r="C77" s="19">
        <v>10</v>
      </c>
      <c r="D77" s="23">
        <f>C77*Stawka</f>
        <v>500</v>
      </c>
      <c r="E77" s="29"/>
    </row>
    <row r="78" spans="1:5" x14ac:dyDescent="0.25">
      <c r="A78" s="10"/>
      <c r="B78" s="12" t="s">
        <v>365</v>
      </c>
      <c r="C78" s="19">
        <v>8</v>
      </c>
      <c r="D78" s="23">
        <f>C78*Stawka</f>
        <v>400</v>
      </c>
      <c r="E78" s="29"/>
    </row>
    <row r="79" spans="1:5" x14ac:dyDescent="0.25">
      <c r="A79" s="10"/>
      <c r="B79" s="12" t="s">
        <v>123</v>
      </c>
      <c r="C79" s="19">
        <v>12</v>
      </c>
      <c r="D79" s="23">
        <f>C79*Stawka</f>
        <v>600</v>
      </c>
      <c r="E79" s="29"/>
    </row>
    <row r="80" spans="1:5" ht="25.5" x14ac:dyDescent="0.25">
      <c r="A80" s="10"/>
      <c r="B80" s="12" t="s">
        <v>366</v>
      </c>
      <c r="C80" s="19">
        <v>10</v>
      </c>
      <c r="D80" s="23">
        <f>C80*Stawka</f>
        <v>500</v>
      </c>
      <c r="E80" s="29"/>
    </row>
    <row r="81" spans="1:5" x14ac:dyDescent="0.25">
      <c r="A81" s="16"/>
      <c r="B81" s="43" t="s">
        <v>367</v>
      </c>
      <c r="C81" s="21">
        <f>SUM(C77:C80)</f>
        <v>40</v>
      </c>
      <c r="D81" s="44">
        <f>SUM(D77:D80)</f>
        <v>2000</v>
      </c>
      <c r="E81" s="16"/>
    </row>
    <row r="82" spans="1:5" ht="18" customHeight="1" x14ac:dyDescent="0.25">
      <c r="A82" s="62" t="s">
        <v>368</v>
      </c>
      <c r="B82" s="63"/>
      <c r="C82" s="63"/>
      <c r="D82" s="63"/>
      <c r="E82" s="63"/>
    </row>
    <row r="83" spans="1:5" x14ac:dyDescent="0.25">
      <c r="A83" s="10"/>
      <c r="B83" s="12" t="s">
        <v>369</v>
      </c>
      <c r="C83" s="19">
        <v>24</v>
      </c>
      <c r="D83" s="23">
        <f>C83*Stawka</f>
        <v>1200</v>
      </c>
      <c r="E83" s="29"/>
    </row>
    <row r="84" spans="1:5" x14ac:dyDescent="0.25">
      <c r="A84" s="10"/>
      <c r="B84" s="12" t="s">
        <v>370</v>
      </c>
      <c r="C84" s="19">
        <v>20</v>
      </c>
      <c r="D84" s="23">
        <f>C84*Stawka</f>
        <v>1000</v>
      </c>
      <c r="E84" s="29"/>
    </row>
    <row r="85" spans="1:5" x14ac:dyDescent="0.25">
      <c r="A85" s="10"/>
      <c r="B85" s="12" t="s">
        <v>371</v>
      </c>
      <c r="C85" s="19">
        <v>16</v>
      </c>
      <c r="D85" s="23">
        <f>C85*Stawka</f>
        <v>800</v>
      </c>
      <c r="E85" s="29"/>
    </row>
    <row r="86" spans="1:5" x14ac:dyDescent="0.25">
      <c r="A86" s="10"/>
      <c r="B86" s="12" t="s">
        <v>372</v>
      </c>
      <c r="C86" s="19">
        <v>16</v>
      </c>
      <c r="D86" s="23">
        <f>C86*Stawka</f>
        <v>800</v>
      </c>
      <c r="E86" s="29"/>
    </row>
    <row r="87" spans="1:5" x14ac:dyDescent="0.25">
      <c r="A87" s="10"/>
      <c r="B87" s="12" t="s">
        <v>373</v>
      </c>
      <c r="C87" s="19">
        <v>12</v>
      </c>
      <c r="D87" s="23">
        <f>C87*Stawka</f>
        <v>600</v>
      </c>
      <c r="E87" s="29"/>
    </row>
    <row r="88" spans="1:5" x14ac:dyDescent="0.25">
      <c r="A88" s="16"/>
      <c r="B88" s="43" t="s">
        <v>374</v>
      </c>
      <c r="C88" s="21">
        <f>SUM(C83:C87)</f>
        <v>88</v>
      </c>
      <c r="D88" s="44">
        <f>SUM(D83:D87)</f>
        <v>4400</v>
      </c>
      <c r="E88" s="16"/>
    </row>
    <row r="89" spans="1:5" x14ac:dyDescent="0.25">
      <c r="A89" s="15"/>
      <c r="B89" s="36" t="s">
        <v>375</v>
      </c>
      <c r="C89" s="22">
        <f>C13+C20+C27+C35+C43+C51+C57+C63+C69+C75+C81+C88</f>
        <v>936</v>
      </c>
      <c r="D89" s="37">
        <f>D13+D20+D27+D35+D43+D51+D57+D63+D69+D75+D81+D88</f>
        <v>46800</v>
      </c>
      <c r="E89" s="15"/>
    </row>
    <row r="90" spans="1:5" x14ac:dyDescent="0.25">
      <c r="A90" s="10"/>
      <c r="B90" s="4" t="s">
        <v>9</v>
      </c>
      <c r="C90" s="19">
        <f>ROUND(C89*Bufor_proc,0)</f>
        <v>140</v>
      </c>
      <c r="D90" s="23">
        <f>C90*Stawka</f>
        <v>7000</v>
      </c>
      <c r="E90" s="45" t="s">
        <v>376</v>
      </c>
    </row>
    <row r="91" spans="1:5" x14ac:dyDescent="0.25">
      <c r="A91" s="13"/>
      <c r="B91" s="46" t="s">
        <v>377</v>
      </c>
      <c r="C91" s="47">
        <f>C89+C90</f>
        <v>1076</v>
      </c>
      <c r="D91" s="25">
        <f>D89+D90</f>
        <v>53800</v>
      </c>
      <c r="E91" s="13"/>
    </row>
    <row r="93" spans="1:5" ht="20.100000000000001" customHeight="1" x14ac:dyDescent="0.25">
      <c r="A93" s="62" t="s">
        <v>378</v>
      </c>
      <c r="B93" s="63"/>
      <c r="C93" s="63"/>
      <c r="D93" s="63"/>
      <c r="E93" s="63"/>
    </row>
    <row r="94" spans="1:5" ht="30" customHeight="1" x14ac:dyDescent="0.25">
      <c r="A94" s="1" t="s">
        <v>276</v>
      </c>
      <c r="B94" s="1" t="s">
        <v>6</v>
      </c>
      <c r="C94" s="1" t="s">
        <v>379</v>
      </c>
      <c r="D94" s="1" t="s">
        <v>380</v>
      </c>
      <c r="E94" s="1" t="s">
        <v>209</v>
      </c>
    </row>
    <row r="95" spans="1:5" ht="51" x14ac:dyDescent="0.25">
      <c r="A95" s="9" t="s">
        <v>381</v>
      </c>
      <c r="B95" s="12" t="s">
        <v>382</v>
      </c>
      <c r="C95" s="19">
        <v>1076</v>
      </c>
      <c r="D95" s="25">
        <f>C95*Stawka</f>
        <v>53800</v>
      </c>
      <c r="E95" s="29" t="s">
        <v>383</v>
      </c>
    </row>
    <row r="96" spans="1:5" ht="38.25" x14ac:dyDescent="0.25">
      <c r="A96" s="9" t="s">
        <v>384</v>
      </c>
      <c r="B96" s="12" t="s">
        <v>385</v>
      </c>
      <c r="C96" s="19">
        <v>1226</v>
      </c>
      <c r="D96" s="25">
        <f>C96*Stawka</f>
        <v>61300</v>
      </c>
      <c r="E96" s="29" t="s">
        <v>386</v>
      </c>
    </row>
    <row r="97" spans="1:5" ht="38.25" x14ac:dyDescent="0.25">
      <c r="A97" s="9" t="s">
        <v>387</v>
      </c>
      <c r="B97" s="12" t="s">
        <v>388</v>
      </c>
      <c r="C97" s="19">
        <v>948</v>
      </c>
      <c r="D97" s="25">
        <f>C97*Stawka</f>
        <v>47400</v>
      </c>
      <c r="E97" s="29" t="s">
        <v>389</v>
      </c>
    </row>
    <row r="99" spans="1:5" ht="20.100000000000001" customHeight="1" x14ac:dyDescent="0.25">
      <c r="A99" s="62" t="s">
        <v>390</v>
      </c>
      <c r="B99" s="63"/>
      <c r="C99" s="63"/>
      <c r="D99" s="63"/>
      <c r="E99" s="63"/>
    </row>
    <row r="100" spans="1:5" ht="30" customHeight="1" x14ac:dyDescent="0.25">
      <c r="A100" s="1" t="s">
        <v>29</v>
      </c>
      <c r="B100" s="1" t="s">
        <v>391</v>
      </c>
      <c r="C100" s="1" t="s">
        <v>392</v>
      </c>
      <c r="D100" s="1" t="s">
        <v>393</v>
      </c>
      <c r="E100" s="1" t="s">
        <v>394</v>
      </c>
    </row>
    <row r="101" spans="1:5" ht="51" x14ac:dyDescent="0.25">
      <c r="A101" s="4" t="s">
        <v>395</v>
      </c>
      <c r="B101" s="19">
        <v>104</v>
      </c>
      <c r="C101" s="48">
        <v>0</v>
      </c>
      <c r="D101" s="49">
        <f t="shared" ref="D101:D114" si="4">B101+C101</f>
        <v>104</v>
      </c>
      <c r="E101" s="29" t="s">
        <v>396</v>
      </c>
    </row>
    <row r="102" spans="1:5" ht="51" x14ac:dyDescent="0.25">
      <c r="A102" s="42" t="s">
        <v>397</v>
      </c>
      <c r="B102" s="33">
        <v>120</v>
      </c>
      <c r="C102" s="50">
        <v>-40</v>
      </c>
      <c r="D102" s="51">
        <f t="shared" si="4"/>
        <v>80</v>
      </c>
      <c r="E102" s="35" t="s">
        <v>398</v>
      </c>
    </row>
    <row r="103" spans="1:5" ht="38.25" x14ac:dyDescent="0.25">
      <c r="A103" s="4" t="s">
        <v>399</v>
      </c>
      <c r="B103" s="19">
        <v>76</v>
      </c>
      <c r="C103" s="48">
        <v>0</v>
      </c>
      <c r="D103" s="49">
        <f t="shared" si="4"/>
        <v>76</v>
      </c>
      <c r="E103" s="29" t="s">
        <v>400</v>
      </c>
    </row>
    <row r="104" spans="1:5" ht="63.75" x14ac:dyDescent="0.25">
      <c r="A104" s="42" t="s">
        <v>401</v>
      </c>
      <c r="B104" s="33">
        <v>130</v>
      </c>
      <c r="C104" s="50">
        <v>-60</v>
      </c>
      <c r="D104" s="51">
        <f t="shared" si="4"/>
        <v>70</v>
      </c>
      <c r="E104" s="35" t="s">
        <v>402</v>
      </c>
    </row>
    <row r="105" spans="1:5" ht="51" x14ac:dyDescent="0.25">
      <c r="A105" s="4" t="s">
        <v>328</v>
      </c>
      <c r="B105" s="19">
        <v>102</v>
      </c>
      <c r="C105" s="48">
        <v>-20</v>
      </c>
      <c r="D105" s="49">
        <f t="shared" si="4"/>
        <v>82</v>
      </c>
      <c r="E105" s="29" t="s">
        <v>403</v>
      </c>
    </row>
    <row r="106" spans="1:5" ht="38.25" x14ac:dyDescent="0.25">
      <c r="A106" s="42" t="s">
        <v>404</v>
      </c>
      <c r="B106" s="33">
        <v>74</v>
      </c>
      <c r="C106" s="50">
        <v>-10</v>
      </c>
      <c r="D106" s="51">
        <f t="shared" si="4"/>
        <v>64</v>
      </c>
      <c r="E106" s="35" t="s">
        <v>405</v>
      </c>
    </row>
    <row r="107" spans="1:5" ht="38.25" x14ac:dyDescent="0.25">
      <c r="A107" s="4" t="s">
        <v>342</v>
      </c>
      <c r="B107" s="19">
        <v>54</v>
      </c>
      <c r="C107" s="48">
        <v>-8</v>
      </c>
      <c r="D107" s="49">
        <f t="shared" si="4"/>
        <v>46</v>
      </c>
      <c r="E107" s="29" t="s">
        <v>406</v>
      </c>
    </row>
    <row r="108" spans="1:5" ht="38.25" x14ac:dyDescent="0.25">
      <c r="A108" s="42" t="s">
        <v>407</v>
      </c>
      <c r="B108" s="33">
        <v>44</v>
      </c>
      <c r="C108" s="50">
        <v>-8</v>
      </c>
      <c r="D108" s="51">
        <f t="shared" si="4"/>
        <v>36</v>
      </c>
      <c r="E108" s="35" t="s">
        <v>408</v>
      </c>
    </row>
    <row r="109" spans="1:5" ht="38.25" x14ac:dyDescent="0.25">
      <c r="A109" s="4" t="s">
        <v>409</v>
      </c>
      <c r="B109" s="19">
        <v>52</v>
      </c>
      <c r="C109" s="48">
        <v>-10</v>
      </c>
      <c r="D109" s="49">
        <f t="shared" si="4"/>
        <v>42</v>
      </c>
      <c r="E109" s="29" t="s">
        <v>410</v>
      </c>
    </row>
    <row r="110" spans="1:5" ht="51" x14ac:dyDescent="0.25">
      <c r="A110" s="42" t="s">
        <v>411</v>
      </c>
      <c r="B110" s="33">
        <v>52</v>
      </c>
      <c r="C110" s="50">
        <v>0</v>
      </c>
      <c r="D110" s="51">
        <f t="shared" si="4"/>
        <v>52</v>
      </c>
      <c r="E110" s="35" t="s">
        <v>412</v>
      </c>
    </row>
    <row r="111" spans="1:5" ht="38.25" x14ac:dyDescent="0.25">
      <c r="A111" s="4" t="s">
        <v>413</v>
      </c>
      <c r="B111" s="19">
        <v>40</v>
      </c>
      <c r="C111" s="48">
        <v>0</v>
      </c>
      <c r="D111" s="49">
        <f t="shared" si="4"/>
        <v>40</v>
      </c>
      <c r="E111" s="29" t="s">
        <v>414</v>
      </c>
    </row>
    <row r="112" spans="1:5" ht="51" x14ac:dyDescent="0.25">
      <c r="A112" s="42" t="s">
        <v>415</v>
      </c>
      <c r="B112" s="33">
        <v>88</v>
      </c>
      <c r="C112" s="50">
        <v>0</v>
      </c>
      <c r="D112" s="51">
        <f t="shared" si="4"/>
        <v>88</v>
      </c>
      <c r="E112" s="35" t="s">
        <v>416</v>
      </c>
    </row>
    <row r="113" spans="1:5" ht="51" x14ac:dyDescent="0.25">
      <c r="A113" s="4" t="s">
        <v>417</v>
      </c>
      <c r="B113" s="19">
        <v>0</v>
      </c>
      <c r="C113" s="48">
        <v>40</v>
      </c>
      <c r="D113" s="49">
        <f t="shared" si="4"/>
        <v>40</v>
      </c>
      <c r="E113" s="29" t="s">
        <v>418</v>
      </c>
    </row>
    <row r="114" spans="1:5" ht="63.75" x14ac:dyDescent="0.25">
      <c r="A114" s="42" t="s">
        <v>419</v>
      </c>
      <c r="B114" s="33">
        <v>0</v>
      </c>
      <c r="C114" s="50">
        <v>4</v>
      </c>
      <c r="D114" s="51">
        <f t="shared" si="4"/>
        <v>4</v>
      </c>
      <c r="E114" s="35" t="s">
        <v>420</v>
      </c>
    </row>
    <row r="115" spans="1:5" ht="63.75" x14ac:dyDescent="0.25">
      <c r="A115" s="36" t="s">
        <v>421</v>
      </c>
      <c r="B115" s="22">
        <f>SUM(B101:B114)</f>
        <v>936</v>
      </c>
      <c r="C115" s="52">
        <f>SUM(C101:C114)</f>
        <v>-112</v>
      </c>
      <c r="D115" s="22">
        <f>SUM(D101:D114)</f>
        <v>824</v>
      </c>
      <c r="E115" s="15"/>
    </row>
  </sheetData>
  <mergeCells count="16">
    <mergeCell ref="A82:E82"/>
    <mergeCell ref="A76:E76"/>
    <mergeCell ref="A99:E99"/>
    <mergeCell ref="A1:E1"/>
    <mergeCell ref="A5:E5"/>
    <mergeCell ref="A93:E93"/>
    <mergeCell ref="A36:E36"/>
    <mergeCell ref="A14:E14"/>
    <mergeCell ref="A44:E44"/>
    <mergeCell ref="A58:E58"/>
    <mergeCell ref="A70:E70"/>
    <mergeCell ref="A21:E21"/>
    <mergeCell ref="A2:E2"/>
    <mergeCell ref="A52:E52"/>
    <mergeCell ref="A64:E64"/>
    <mergeCell ref="A28:E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0"/>
  <sheetViews>
    <sheetView showGridLines="0" workbookViewId="0">
      <pane ySplit="4" topLeftCell="A5" activePane="bottomLeft" state="frozen"/>
      <selection pane="bottomLeft" sqref="A1:F1"/>
    </sheetView>
  </sheetViews>
  <sheetFormatPr defaultRowHeight="15" x14ac:dyDescent="0.25"/>
  <cols>
    <col min="1" max="1" width="7" customWidth="1"/>
    <col min="2" max="2" width="34" customWidth="1"/>
    <col min="3" max="4" width="13" customWidth="1"/>
    <col min="5" max="5" width="14" customWidth="1"/>
    <col min="6" max="6" width="34" customWidth="1"/>
  </cols>
  <sheetData>
    <row r="1" spans="1:6" ht="26.1" customHeight="1" x14ac:dyDescent="0.25">
      <c r="A1" s="75" t="s">
        <v>422</v>
      </c>
      <c r="B1" s="63"/>
      <c r="C1" s="63"/>
      <c r="D1" s="63"/>
      <c r="E1" s="63"/>
      <c r="F1" s="63"/>
    </row>
    <row r="2" spans="1:6" x14ac:dyDescent="0.25">
      <c r="A2" s="71" t="s">
        <v>423</v>
      </c>
      <c r="B2" s="63"/>
      <c r="C2" s="63"/>
      <c r="D2" s="63"/>
      <c r="E2" s="63"/>
      <c r="F2" s="63"/>
    </row>
    <row r="4" spans="1:6" ht="30" customHeight="1" x14ac:dyDescent="0.25">
      <c r="A4" s="1" t="s">
        <v>205</v>
      </c>
      <c r="B4" s="1" t="s">
        <v>424</v>
      </c>
      <c r="C4" s="1" t="s">
        <v>391</v>
      </c>
      <c r="D4" s="1" t="s">
        <v>392</v>
      </c>
      <c r="E4" s="1" t="s">
        <v>425</v>
      </c>
      <c r="F4" s="1" t="s">
        <v>426</v>
      </c>
    </row>
    <row r="5" spans="1:6" ht="27.95" customHeight="1" x14ac:dyDescent="0.25">
      <c r="A5" s="8" t="s">
        <v>32</v>
      </c>
      <c r="B5" s="11" t="s">
        <v>427</v>
      </c>
      <c r="C5" s="19">
        <v>104</v>
      </c>
      <c r="D5" s="48">
        <v>0</v>
      </c>
      <c r="E5" s="49">
        <f t="shared" ref="E5:E18" si="0">C5+D5</f>
        <v>104</v>
      </c>
      <c r="F5" s="29" t="s">
        <v>428</v>
      </c>
    </row>
    <row r="6" spans="1:6" ht="27.95" customHeight="1" x14ac:dyDescent="0.25">
      <c r="A6" s="30" t="s">
        <v>35</v>
      </c>
      <c r="B6" s="31" t="s">
        <v>36</v>
      </c>
      <c r="C6" s="33">
        <v>120</v>
      </c>
      <c r="D6" s="50">
        <v>-40</v>
      </c>
      <c r="E6" s="51">
        <f t="shared" si="0"/>
        <v>80</v>
      </c>
      <c r="F6" s="35" t="s">
        <v>429</v>
      </c>
    </row>
    <row r="7" spans="1:6" ht="27.95" customHeight="1" x14ac:dyDescent="0.25">
      <c r="A7" s="8" t="s">
        <v>38</v>
      </c>
      <c r="B7" s="11" t="s">
        <v>39</v>
      </c>
      <c r="C7" s="19">
        <v>76</v>
      </c>
      <c r="D7" s="48">
        <v>0</v>
      </c>
      <c r="E7" s="49">
        <f t="shared" si="0"/>
        <v>76</v>
      </c>
      <c r="F7" s="29" t="s">
        <v>430</v>
      </c>
    </row>
    <row r="8" spans="1:6" ht="27.95" customHeight="1" x14ac:dyDescent="0.25">
      <c r="A8" s="30" t="s">
        <v>41</v>
      </c>
      <c r="B8" s="31" t="s">
        <v>42</v>
      </c>
      <c r="C8" s="33">
        <v>130</v>
      </c>
      <c r="D8" s="50">
        <v>-60</v>
      </c>
      <c r="E8" s="51">
        <f t="shared" si="0"/>
        <v>70</v>
      </c>
      <c r="F8" s="35" t="s">
        <v>431</v>
      </c>
    </row>
    <row r="9" spans="1:6" ht="27.95" customHeight="1" x14ac:dyDescent="0.25">
      <c r="A9" s="8" t="s">
        <v>44</v>
      </c>
      <c r="B9" s="11" t="s">
        <v>45</v>
      </c>
      <c r="C9" s="19">
        <v>102</v>
      </c>
      <c r="D9" s="48">
        <v>-20</v>
      </c>
      <c r="E9" s="49">
        <f t="shared" si="0"/>
        <v>82</v>
      </c>
      <c r="F9" s="29" t="s">
        <v>432</v>
      </c>
    </row>
    <row r="10" spans="1:6" ht="27.95" customHeight="1" x14ac:dyDescent="0.25">
      <c r="A10" s="30" t="s">
        <v>47</v>
      </c>
      <c r="B10" s="31" t="s">
        <v>48</v>
      </c>
      <c r="C10" s="33">
        <v>74</v>
      </c>
      <c r="D10" s="50">
        <v>-10</v>
      </c>
      <c r="E10" s="51">
        <f t="shared" si="0"/>
        <v>64</v>
      </c>
      <c r="F10" s="35" t="s">
        <v>405</v>
      </c>
    </row>
    <row r="11" spans="1:6" ht="27.95" customHeight="1" x14ac:dyDescent="0.25">
      <c r="A11" s="8" t="s">
        <v>50</v>
      </c>
      <c r="B11" s="11" t="s">
        <v>51</v>
      </c>
      <c r="C11" s="19">
        <v>54</v>
      </c>
      <c r="D11" s="48">
        <v>-8</v>
      </c>
      <c r="E11" s="49">
        <f t="shared" si="0"/>
        <v>46</v>
      </c>
      <c r="F11" s="29" t="s">
        <v>406</v>
      </c>
    </row>
    <row r="12" spans="1:6" ht="27.95" customHeight="1" x14ac:dyDescent="0.25">
      <c r="A12" s="30" t="s">
        <v>53</v>
      </c>
      <c r="B12" s="31" t="s">
        <v>54</v>
      </c>
      <c r="C12" s="33">
        <v>44</v>
      </c>
      <c r="D12" s="50">
        <v>-8</v>
      </c>
      <c r="E12" s="51">
        <f t="shared" si="0"/>
        <v>36</v>
      </c>
      <c r="F12" s="35" t="s">
        <v>408</v>
      </c>
    </row>
    <row r="13" spans="1:6" ht="27.95" customHeight="1" x14ac:dyDescent="0.25">
      <c r="A13" s="8" t="s">
        <v>56</v>
      </c>
      <c r="B13" s="11" t="s">
        <v>433</v>
      </c>
      <c r="C13" s="19">
        <v>52</v>
      </c>
      <c r="D13" s="48">
        <v>-10</v>
      </c>
      <c r="E13" s="49">
        <f t="shared" si="0"/>
        <v>42</v>
      </c>
      <c r="F13" s="29" t="s">
        <v>434</v>
      </c>
    </row>
    <row r="14" spans="1:6" ht="27.95" customHeight="1" x14ac:dyDescent="0.25">
      <c r="A14" s="30" t="s">
        <v>59</v>
      </c>
      <c r="B14" s="31" t="s">
        <v>102</v>
      </c>
      <c r="C14" s="33">
        <v>52</v>
      </c>
      <c r="D14" s="50">
        <v>0</v>
      </c>
      <c r="E14" s="51">
        <f t="shared" si="0"/>
        <v>52</v>
      </c>
      <c r="F14" s="35" t="s">
        <v>412</v>
      </c>
    </row>
    <row r="15" spans="1:6" ht="27.95" customHeight="1" x14ac:dyDescent="0.25">
      <c r="A15" s="8" t="s">
        <v>62</v>
      </c>
      <c r="B15" s="11" t="s">
        <v>435</v>
      </c>
      <c r="C15" s="19">
        <v>40</v>
      </c>
      <c r="D15" s="48">
        <v>0</v>
      </c>
      <c r="E15" s="49">
        <f t="shared" si="0"/>
        <v>40</v>
      </c>
      <c r="F15" s="29" t="s">
        <v>436</v>
      </c>
    </row>
    <row r="16" spans="1:6" ht="27.95" customHeight="1" x14ac:dyDescent="0.25">
      <c r="A16" s="30" t="s">
        <v>65</v>
      </c>
      <c r="B16" s="31" t="s">
        <v>437</v>
      </c>
      <c r="C16" s="33">
        <v>88</v>
      </c>
      <c r="D16" s="50">
        <v>0</v>
      </c>
      <c r="E16" s="51">
        <f t="shared" si="0"/>
        <v>88</v>
      </c>
      <c r="F16" s="35" t="s">
        <v>438</v>
      </c>
    </row>
    <row r="17" spans="1:6" ht="27.95" customHeight="1" x14ac:dyDescent="0.25">
      <c r="A17" s="8" t="s">
        <v>439</v>
      </c>
      <c r="B17" s="11" t="s">
        <v>417</v>
      </c>
      <c r="C17" s="19">
        <v>0</v>
      </c>
      <c r="D17" s="48">
        <v>40</v>
      </c>
      <c r="E17" s="49">
        <f t="shared" si="0"/>
        <v>40</v>
      </c>
      <c r="F17" s="29" t="s">
        <v>418</v>
      </c>
    </row>
    <row r="18" spans="1:6" ht="27.95" customHeight="1" x14ac:dyDescent="0.25">
      <c r="A18" s="30" t="s">
        <v>439</v>
      </c>
      <c r="B18" s="31" t="s">
        <v>419</v>
      </c>
      <c r="C18" s="33">
        <v>0</v>
      </c>
      <c r="D18" s="50">
        <v>4</v>
      </c>
      <c r="E18" s="51">
        <f t="shared" si="0"/>
        <v>4</v>
      </c>
      <c r="F18" s="35" t="s">
        <v>420</v>
      </c>
    </row>
    <row r="19" spans="1:6" x14ac:dyDescent="0.25">
      <c r="A19" s="15"/>
      <c r="B19" s="36" t="s">
        <v>440</v>
      </c>
      <c r="C19" s="22">
        <f>SUM(C5:C18)</f>
        <v>936</v>
      </c>
      <c r="D19" s="15"/>
      <c r="E19" s="22">
        <f>SUM(E5:E18)</f>
        <v>824</v>
      </c>
      <c r="F19" s="37">
        <f>E19*Stawka</f>
        <v>41200</v>
      </c>
    </row>
    <row r="20" spans="1:6" x14ac:dyDescent="0.25">
      <c r="A20" s="10"/>
      <c r="B20" s="4" t="s">
        <v>187</v>
      </c>
      <c r="C20" s="10"/>
      <c r="D20" s="10"/>
      <c r="E20" s="19">
        <f>ROUND(E19*Bufor_proc,0)</f>
        <v>124</v>
      </c>
      <c r="F20" s="23">
        <f>E20*Stawka</f>
        <v>6200</v>
      </c>
    </row>
    <row r="21" spans="1:6" x14ac:dyDescent="0.25">
      <c r="A21" s="13"/>
      <c r="B21" s="46" t="s">
        <v>441</v>
      </c>
      <c r="C21" s="13"/>
      <c r="D21" s="13"/>
      <c r="E21" s="47">
        <f>E19+E20</f>
        <v>948</v>
      </c>
      <c r="F21" s="25">
        <f>E21*Stawka</f>
        <v>47400</v>
      </c>
    </row>
    <row r="23" spans="1:6" ht="20.100000000000001" customHeight="1" x14ac:dyDescent="0.25">
      <c r="A23" s="62" t="s">
        <v>442</v>
      </c>
      <c r="B23" s="63"/>
      <c r="C23" s="63"/>
      <c r="D23" s="63"/>
      <c r="E23" s="63"/>
      <c r="F23" s="63"/>
    </row>
    <row r="24" spans="1:6" ht="30" customHeight="1" x14ac:dyDescent="0.25">
      <c r="A24" s="1"/>
      <c r="B24" s="1" t="s">
        <v>162</v>
      </c>
      <c r="C24" s="1" t="s">
        <v>443</v>
      </c>
      <c r="D24" s="1" t="s">
        <v>258</v>
      </c>
      <c r="E24" s="1" t="s">
        <v>208</v>
      </c>
      <c r="F24" s="1" t="s">
        <v>394</v>
      </c>
    </row>
    <row r="25" spans="1:6" ht="24" x14ac:dyDescent="0.25">
      <c r="A25" s="10"/>
      <c r="B25" s="12" t="s">
        <v>444</v>
      </c>
      <c r="C25" s="53">
        <v>0</v>
      </c>
      <c r="D25" s="10"/>
      <c r="E25" s="23">
        <v>0</v>
      </c>
      <c r="F25" s="29" t="s">
        <v>445</v>
      </c>
    </row>
    <row r="26" spans="1:6" x14ac:dyDescent="0.25">
      <c r="A26" s="39"/>
      <c r="B26" s="32" t="s">
        <v>446</v>
      </c>
      <c r="C26" s="54">
        <v>1</v>
      </c>
      <c r="D26" s="39"/>
      <c r="E26" s="34">
        <f>ROUND(99*KursUSD,0)</f>
        <v>401</v>
      </c>
      <c r="F26" s="35" t="s">
        <v>447</v>
      </c>
    </row>
    <row r="27" spans="1:6" x14ac:dyDescent="0.25">
      <c r="A27" s="10"/>
      <c r="B27" s="12" t="s">
        <v>448</v>
      </c>
      <c r="C27" s="53">
        <v>2</v>
      </c>
      <c r="D27" s="10"/>
      <c r="E27" s="23">
        <v>5000</v>
      </c>
      <c r="F27" s="29" t="s">
        <v>449</v>
      </c>
    </row>
    <row r="28" spans="1:6" x14ac:dyDescent="0.25">
      <c r="A28" s="39"/>
      <c r="B28" s="32" t="s">
        <v>450</v>
      </c>
      <c r="C28" s="54">
        <v>1</v>
      </c>
      <c r="D28" s="39"/>
      <c r="E28" s="34">
        <v>300</v>
      </c>
      <c r="F28" s="35" t="s">
        <v>451</v>
      </c>
    </row>
    <row r="29" spans="1:6" x14ac:dyDescent="0.25">
      <c r="A29" s="16"/>
      <c r="B29" s="43" t="s">
        <v>452</v>
      </c>
      <c r="C29" s="16"/>
      <c r="D29" s="16"/>
      <c r="E29" s="44">
        <f>SUM(E25:E28)</f>
        <v>5701</v>
      </c>
      <c r="F29" s="16"/>
    </row>
    <row r="30" spans="1:6" ht="24" customHeight="1" x14ac:dyDescent="0.25">
      <c r="A30" s="55"/>
      <c r="B30" s="56" t="s">
        <v>453</v>
      </c>
      <c r="C30" s="55"/>
      <c r="D30" s="55"/>
      <c r="E30" s="57">
        <f>F21+E29</f>
        <v>53101</v>
      </c>
      <c r="F30" s="55"/>
    </row>
  </sheetData>
  <mergeCells count="3">
    <mergeCell ref="A2:F2"/>
    <mergeCell ref="A1:F1"/>
    <mergeCell ref="A23:F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showGridLines="0" workbookViewId="0">
      <pane ySplit="4" topLeftCell="A5" activePane="bottomLeft" state="frozen"/>
      <selection pane="bottomLeft" sqref="A1:F1"/>
    </sheetView>
  </sheetViews>
  <sheetFormatPr defaultRowHeight="15" x14ac:dyDescent="0.25"/>
  <cols>
    <col min="1" max="1" width="10" customWidth="1"/>
    <col min="2" max="2" width="50" customWidth="1"/>
    <col min="3" max="3" width="12" customWidth="1"/>
    <col min="4" max="4" width="14" customWidth="1"/>
    <col min="5" max="5" width="16" customWidth="1"/>
    <col min="6" max="6" width="30" customWidth="1"/>
  </cols>
  <sheetData>
    <row r="1" spans="1:6" ht="26.1" customHeight="1" x14ac:dyDescent="0.25">
      <c r="A1" s="68" t="s">
        <v>454</v>
      </c>
      <c r="B1" s="63"/>
      <c r="C1" s="63"/>
      <c r="D1" s="63"/>
      <c r="E1" s="63"/>
      <c r="F1" s="63"/>
    </row>
    <row r="2" spans="1:6" x14ac:dyDescent="0.25">
      <c r="A2" s="71" t="s">
        <v>455</v>
      </c>
      <c r="B2" s="63"/>
      <c r="C2" s="63"/>
      <c r="D2" s="63"/>
      <c r="E2" s="63"/>
      <c r="F2" s="63"/>
    </row>
    <row r="4" spans="1:6" ht="30" customHeight="1" x14ac:dyDescent="0.25">
      <c r="A4" s="1" t="s">
        <v>268</v>
      </c>
      <c r="B4" s="1" t="s">
        <v>31</v>
      </c>
      <c r="C4" s="1" t="s">
        <v>207</v>
      </c>
      <c r="D4" s="1" t="s">
        <v>456</v>
      </c>
      <c r="E4" s="1" t="s">
        <v>457</v>
      </c>
      <c r="F4" s="1" t="s">
        <v>209</v>
      </c>
    </row>
    <row r="5" spans="1:6" ht="42" customHeight="1" x14ac:dyDescent="0.25">
      <c r="A5" s="8" t="s">
        <v>269</v>
      </c>
      <c r="B5" s="12" t="s">
        <v>458</v>
      </c>
      <c r="C5" s="19">
        <v>130</v>
      </c>
      <c r="D5" s="23">
        <f>C5*Stawka</f>
        <v>6500</v>
      </c>
      <c r="E5" s="58">
        <f>ROUND(D5*(1+Bufor_proc),0)</f>
        <v>7475</v>
      </c>
      <c r="F5" s="29" t="s">
        <v>459</v>
      </c>
    </row>
    <row r="6" spans="1:6" ht="42" customHeight="1" x14ac:dyDescent="0.25">
      <c r="A6" s="30" t="s">
        <v>271</v>
      </c>
      <c r="B6" s="32" t="s">
        <v>460</v>
      </c>
      <c r="C6" s="33">
        <v>24</v>
      </c>
      <c r="D6" s="34">
        <f>C6*Stawka</f>
        <v>1200</v>
      </c>
      <c r="E6" s="58">
        <f>ROUND(D6*(1+Bufor_proc),0)</f>
        <v>1380</v>
      </c>
      <c r="F6" s="35" t="s">
        <v>461</v>
      </c>
    </row>
    <row r="7" spans="1:6" ht="42" customHeight="1" x14ac:dyDescent="0.25">
      <c r="A7" s="8" t="s">
        <v>273</v>
      </c>
      <c r="B7" s="12" t="s">
        <v>462</v>
      </c>
      <c r="C7" s="19">
        <v>150</v>
      </c>
      <c r="D7" s="23">
        <f>C7*Stawka</f>
        <v>7500</v>
      </c>
      <c r="E7" s="53" t="s">
        <v>463</v>
      </c>
      <c r="F7" s="29" t="s">
        <v>464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0"/>
  <sheetViews>
    <sheetView showGridLines="0" tabSelected="1" workbookViewId="0">
      <pane ySplit="4" topLeftCell="A5" activePane="bottomLeft" state="frozen"/>
      <selection pane="bottomLeft" sqref="A1:D1"/>
    </sheetView>
  </sheetViews>
  <sheetFormatPr defaultRowHeight="15" x14ac:dyDescent="0.25"/>
  <cols>
    <col min="1" max="1" width="38" customWidth="1"/>
    <col min="2" max="2" width="18" customWidth="1"/>
    <col min="3" max="3" width="14" customWidth="1"/>
    <col min="4" max="4" width="50" customWidth="1"/>
  </cols>
  <sheetData>
    <row r="1" spans="1:4" ht="26.1" customHeight="1" x14ac:dyDescent="0.25">
      <c r="A1" s="68" t="s">
        <v>465</v>
      </c>
      <c r="B1" s="63"/>
      <c r="C1" s="63"/>
      <c r="D1" s="63"/>
    </row>
    <row r="2" spans="1:4" x14ac:dyDescent="0.25">
      <c r="A2" s="71" t="s">
        <v>466</v>
      </c>
      <c r="B2" s="63"/>
      <c r="C2" s="63"/>
      <c r="D2" s="63"/>
    </row>
    <row r="4" spans="1:4" ht="20.100000000000001" customHeight="1" x14ac:dyDescent="0.25">
      <c r="A4" s="62" t="s">
        <v>467</v>
      </c>
      <c r="B4" s="63"/>
      <c r="C4" s="63"/>
      <c r="D4" s="63"/>
    </row>
    <row r="5" spans="1:4" ht="30" customHeight="1" x14ac:dyDescent="0.25">
      <c r="A5" s="1" t="s">
        <v>468</v>
      </c>
      <c r="B5" s="1" t="s">
        <v>469</v>
      </c>
      <c r="C5" s="1" t="s">
        <v>258</v>
      </c>
      <c r="D5" s="1" t="s">
        <v>209</v>
      </c>
    </row>
    <row r="6" spans="1:4" x14ac:dyDescent="0.25">
      <c r="A6" s="4" t="s">
        <v>470</v>
      </c>
      <c r="B6" s="23">
        <v>2500</v>
      </c>
      <c r="C6" s="10"/>
      <c r="D6" s="29" t="s">
        <v>471</v>
      </c>
    </row>
    <row r="7" spans="1:4" x14ac:dyDescent="0.25">
      <c r="A7" s="4" t="s">
        <v>472</v>
      </c>
      <c r="B7" s="23">
        <v>5500</v>
      </c>
      <c r="C7" s="10"/>
      <c r="D7" s="29" t="s">
        <v>473</v>
      </c>
    </row>
    <row r="8" spans="1:4" x14ac:dyDescent="0.25">
      <c r="A8" s="4" t="s">
        <v>474</v>
      </c>
      <c r="B8" s="23">
        <v>8500</v>
      </c>
      <c r="C8" s="10"/>
      <c r="D8" s="29" t="s">
        <v>475</v>
      </c>
    </row>
    <row r="10" spans="1:4" ht="20.100000000000001" customHeight="1" x14ac:dyDescent="0.25">
      <c r="A10" s="62" t="s">
        <v>476</v>
      </c>
      <c r="B10" s="63"/>
      <c r="C10" s="63"/>
      <c r="D10" s="63"/>
    </row>
    <row r="11" spans="1:4" ht="30" customHeight="1" x14ac:dyDescent="0.25">
      <c r="A11" s="1" t="s">
        <v>477</v>
      </c>
      <c r="B11" s="1" t="s">
        <v>478</v>
      </c>
      <c r="C11" s="1" t="s">
        <v>258</v>
      </c>
      <c r="D11" s="1" t="s">
        <v>209</v>
      </c>
    </row>
    <row r="12" spans="1:4" x14ac:dyDescent="0.25">
      <c r="A12" s="4" t="s">
        <v>479</v>
      </c>
      <c r="B12" s="23">
        <v>2200</v>
      </c>
      <c r="C12" s="10"/>
      <c r="D12" s="29" t="s">
        <v>480</v>
      </c>
    </row>
    <row r="13" spans="1:4" x14ac:dyDescent="0.25">
      <c r="A13" s="4" t="s">
        <v>481</v>
      </c>
      <c r="B13" s="23">
        <v>3200</v>
      </c>
      <c r="C13" s="10"/>
      <c r="D13" s="29" t="s">
        <v>482</v>
      </c>
    </row>
    <row r="14" spans="1:4" x14ac:dyDescent="0.25">
      <c r="A14" s="4" t="s">
        <v>483</v>
      </c>
      <c r="B14" s="23">
        <v>4400</v>
      </c>
      <c r="C14" s="10"/>
      <c r="D14" s="29" t="s">
        <v>484</v>
      </c>
    </row>
    <row r="16" spans="1:4" ht="20.100000000000001" customHeight="1" x14ac:dyDescent="0.25">
      <c r="A16" s="62" t="s">
        <v>485</v>
      </c>
      <c r="B16" s="63"/>
      <c r="C16" s="63"/>
      <c r="D16" s="63"/>
    </row>
    <row r="17" spans="1:4" ht="30" customHeight="1" x14ac:dyDescent="0.25">
      <c r="A17" s="1" t="s">
        <v>486</v>
      </c>
      <c r="B17" s="1" t="s">
        <v>487</v>
      </c>
      <c r="C17" s="1" t="s">
        <v>258</v>
      </c>
      <c r="D17" s="1" t="s">
        <v>209</v>
      </c>
    </row>
    <row r="18" spans="1:4" ht="25.5" x14ac:dyDescent="0.25">
      <c r="A18" s="4" t="s">
        <v>488</v>
      </c>
      <c r="B18" s="23">
        <v>400</v>
      </c>
      <c r="C18" s="10"/>
      <c r="D18" s="29" t="s">
        <v>489</v>
      </c>
    </row>
    <row r="19" spans="1:4" x14ac:dyDescent="0.25">
      <c r="A19" s="4" t="s">
        <v>490</v>
      </c>
      <c r="B19" s="23">
        <v>400</v>
      </c>
      <c r="C19" s="10"/>
      <c r="D19" s="29" t="s">
        <v>491</v>
      </c>
    </row>
    <row r="20" spans="1:4" ht="25.5" x14ac:dyDescent="0.25">
      <c r="A20" s="4" t="s">
        <v>492</v>
      </c>
      <c r="B20" s="23">
        <v>1200</v>
      </c>
      <c r="C20" s="10"/>
      <c r="D20" s="29" t="s">
        <v>493</v>
      </c>
    </row>
  </sheetData>
  <mergeCells count="5">
    <mergeCell ref="A1:D1"/>
    <mergeCell ref="A4:D4"/>
    <mergeCell ref="A2:D2"/>
    <mergeCell ref="A16:D16"/>
    <mergeCell ref="A10:D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4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6" customWidth="1"/>
    <col min="2" max="2" width="46" customWidth="1"/>
    <col min="3" max="4" width="14" customWidth="1"/>
    <col min="5" max="5" width="52" customWidth="1"/>
  </cols>
  <sheetData>
    <row r="1" spans="1:5" ht="26.1" customHeight="1" x14ac:dyDescent="0.25">
      <c r="A1" s="68" t="s">
        <v>494</v>
      </c>
      <c r="B1" s="63"/>
      <c r="C1" s="63"/>
      <c r="D1" s="63"/>
      <c r="E1" s="63"/>
    </row>
    <row r="3" spans="1:5" ht="30" customHeight="1" x14ac:dyDescent="0.25">
      <c r="A3" s="1" t="s">
        <v>495</v>
      </c>
      <c r="B3" s="1" t="s">
        <v>496</v>
      </c>
      <c r="C3" s="1" t="s">
        <v>497</v>
      </c>
      <c r="D3" s="1" t="s">
        <v>498</v>
      </c>
      <c r="E3" s="1" t="s">
        <v>499</v>
      </c>
    </row>
    <row r="4" spans="1:5" ht="32.1" customHeight="1" x14ac:dyDescent="0.25">
      <c r="A4" s="8" t="s">
        <v>500</v>
      </c>
      <c r="B4" s="12" t="s">
        <v>501</v>
      </c>
      <c r="C4" s="59" t="s">
        <v>502</v>
      </c>
      <c r="D4" s="59" t="s">
        <v>503</v>
      </c>
      <c r="E4" s="12" t="s">
        <v>504</v>
      </c>
    </row>
    <row r="5" spans="1:5" ht="32.1" customHeight="1" x14ac:dyDescent="0.25">
      <c r="A5" s="8" t="s">
        <v>505</v>
      </c>
      <c r="B5" s="12" t="s">
        <v>506</v>
      </c>
      <c r="C5" s="59" t="s">
        <v>502</v>
      </c>
      <c r="D5" s="60" t="s">
        <v>507</v>
      </c>
      <c r="E5" s="12" t="s">
        <v>508</v>
      </c>
    </row>
    <row r="6" spans="1:5" ht="32.1" customHeight="1" x14ac:dyDescent="0.25">
      <c r="A6" s="8" t="s">
        <v>509</v>
      </c>
      <c r="B6" s="12" t="s">
        <v>510</v>
      </c>
      <c r="C6" s="60" t="s">
        <v>511</v>
      </c>
      <c r="D6" s="59" t="s">
        <v>503</v>
      </c>
      <c r="E6" s="12" t="s">
        <v>512</v>
      </c>
    </row>
    <row r="7" spans="1:5" ht="32.1" customHeight="1" x14ac:dyDescent="0.25">
      <c r="A7" s="8" t="s">
        <v>513</v>
      </c>
      <c r="B7" s="12" t="s">
        <v>514</v>
      </c>
      <c r="C7" s="60" t="s">
        <v>511</v>
      </c>
      <c r="D7" s="60" t="s">
        <v>507</v>
      </c>
      <c r="E7" s="12" t="s">
        <v>515</v>
      </c>
    </row>
    <row r="8" spans="1:5" ht="32.1" customHeight="1" x14ac:dyDescent="0.25">
      <c r="A8" s="8" t="s">
        <v>516</v>
      </c>
      <c r="B8" s="12" t="s">
        <v>517</v>
      </c>
      <c r="C8" s="60" t="s">
        <v>511</v>
      </c>
      <c r="D8" s="59" t="s">
        <v>503</v>
      </c>
      <c r="E8" s="12" t="s">
        <v>518</v>
      </c>
    </row>
    <row r="9" spans="1:5" ht="32.1" customHeight="1" x14ac:dyDescent="0.25">
      <c r="A9" s="8" t="s">
        <v>519</v>
      </c>
      <c r="B9" s="12" t="s">
        <v>520</v>
      </c>
      <c r="C9" s="60" t="s">
        <v>511</v>
      </c>
      <c r="D9" s="60" t="s">
        <v>507</v>
      </c>
      <c r="E9" s="12" t="s">
        <v>521</v>
      </c>
    </row>
    <row r="10" spans="1:5" ht="32.1" customHeight="1" x14ac:dyDescent="0.25">
      <c r="A10" s="8" t="s">
        <v>522</v>
      </c>
      <c r="B10" s="12" t="s">
        <v>523</v>
      </c>
      <c r="C10" s="59" t="s">
        <v>502</v>
      </c>
      <c r="D10" s="59" t="s">
        <v>503</v>
      </c>
      <c r="E10" s="12" t="s">
        <v>524</v>
      </c>
    </row>
    <row r="11" spans="1:5" ht="32.1" customHeight="1" x14ac:dyDescent="0.25">
      <c r="A11" s="8" t="s">
        <v>525</v>
      </c>
      <c r="B11" s="12" t="s">
        <v>526</v>
      </c>
      <c r="C11" s="60" t="s">
        <v>511</v>
      </c>
      <c r="D11" s="59" t="s">
        <v>503</v>
      </c>
      <c r="E11" s="12" t="s">
        <v>527</v>
      </c>
    </row>
    <row r="12" spans="1:5" ht="32.1" customHeight="1" x14ac:dyDescent="0.25">
      <c r="A12" s="8" t="s">
        <v>528</v>
      </c>
      <c r="B12" s="12" t="s">
        <v>529</v>
      </c>
      <c r="C12" s="60" t="s">
        <v>511</v>
      </c>
      <c r="D12" s="59" t="s">
        <v>503</v>
      </c>
      <c r="E12" s="12" t="s">
        <v>530</v>
      </c>
    </row>
    <row r="13" spans="1:5" ht="32.1" customHeight="1" x14ac:dyDescent="0.25">
      <c r="A13" s="8" t="s">
        <v>531</v>
      </c>
      <c r="B13" s="12" t="s">
        <v>532</v>
      </c>
      <c r="C13" s="61" t="s">
        <v>533</v>
      </c>
      <c r="D13" s="61" t="s">
        <v>534</v>
      </c>
      <c r="E13" s="12" t="s">
        <v>535</v>
      </c>
    </row>
    <row r="14" spans="1:5" ht="32.1" customHeight="1" x14ac:dyDescent="0.25">
      <c r="A14" s="8" t="s">
        <v>536</v>
      </c>
      <c r="B14" s="12" t="s">
        <v>537</v>
      </c>
      <c r="C14" s="60" t="s">
        <v>511</v>
      </c>
      <c r="D14" s="60" t="s">
        <v>507</v>
      </c>
      <c r="E14" s="12" t="s">
        <v>538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Legenda</vt:lpstr>
      <vt:lpstr>Podsumowanie</vt:lpstr>
      <vt:lpstr>V1 — Reuse (1-1)</vt:lpstr>
      <vt:lpstr>V2 — Własny kod</vt:lpstr>
      <vt:lpstr>V3 — Realistyczna</vt:lpstr>
      <vt:lpstr>V4 — Zunifikowany ★</vt:lpstr>
      <vt:lpstr>Opcje dodatkowe</vt:lpstr>
      <vt:lpstr>Koszty stałe</vt:lpstr>
      <vt:lpstr>Ryzyka</vt:lpstr>
      <vt:lpstr>Bufor_proc</vt:lpstr>
      <vt:lpstr>KursUSD</vt:lpstr>
      <vt:lpstr>Stawka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Michał Kurdziel</cp:lastModifiedBy>
  <dcterms:created xsi:type="dcterms:W3CDTF">2026-06-15T21:13:10Z</dcterms:created>
  <dcterms:modified xsi:type="dcterms:W3CDTF">2026-06-15T21:19:01Z</dcterms:modified>
</cp:coreProperties>
</file>